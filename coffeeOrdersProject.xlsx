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hobh\Desktop\github desktop\Coffee Sales Project\"/>
    </mc:Choice>
  </mc:AlternateContent>
  <xr:revisionPtr revIDLastSave="0" documentId="13_ncr:1_{6E1F79EA-6626-402B-8750-A1770DFE72B8}" xr6:coauthVersionLast="47" xr6:coauthVersionMax="47" xr10:uidLastSave="{00000000-0000-0000-0000-000000000000}"/>
  <bookViews>
    <workbookView xWindow="-108" yWindow="-108" windowWidth="23256" windowHeight="12456" tabRatio="853" xr2:uid="{00000000-000D-0000-FFFF-FFFF00000000}"/>
  </bookViews>
  <sheets>
    <sheet name="Dashboard" sheetId="23" r:id="rId1"/>
    <sheet name="TotalSales" sheetId="18" r:id="rId2"/>
    <sheet name="Year to Date" sheetId="27" r:id="rId3"/>
    <sheet name="Year on Year Growth %" sheetId="24" r:id="rId4"/>
    <sheet name="Market share by coffee type" sheetId="25" r:id="rId5"/>
    <sheet name="CountryBarChart" sheetId="21" r:id="rId6"/>
    <sheet name="Top5Customers" sheetId="22" r:id="rId7"/>
    <sheet name="orders" sheetId="17" r:id="rId8"/>
    <sheet name="customers" sheetId="13" r:id="rId9"/>
    <sheet name="products" sheetId="2" r:id="rId10"/>
  </sheets>
  <definedNames>
    <definedName name="_xlnm._FilterDatabase" localSheetId="7" hidden="1">orders!$A$1:$M$1001</definedName>
    <definedName name="_xlnm._FilterDatabase" localSheetId="9"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<sst xmlns="http://schemas.openxmlformats.org/spreadsheetml/2006/main" count="11267" uniqueCount="6225">
  <si>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</si>
  <si>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</si>
  <si>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</si>
  <si>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</si>
  <si>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</si>
  <si>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</si>
  <si>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</si>
  <si>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</si>
  <si>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</si>
  <si>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</si>
  <si>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</si>
  <si>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</si>
  <si>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</si>
  <si>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</si>
  <si>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</si>
  <si>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</si>
  <si>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</si>
  <si>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</si>
  <si>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</si>
  <si>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</si>
  <si>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</si>
  <si>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</si>
  <si>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</si>
  <si>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</si>
  <si>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</si>
  <si>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</si>
  <si>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</si>
  <si>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</si>
  <si>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</si>
  <si>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</si>
  <si>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</si>
  <si>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</si>
  <si>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</si>
  <si>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</si>
  <si>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</si>
  <si>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</si>
  <si>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</si>
  <si>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</si>
  <si>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</si>
  <si>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</si>
  <si>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</si>
  <si>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</si>
  <si>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</si>
  <si>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</si>
  <si>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</si>
  <si>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</si>
  <si>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</si>
  <si>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</si>
  <si>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</si>
  <si>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</si>
  <si>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</si>
  <si>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</si>
  <si>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</si>
  <si>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</si>
  <si>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</si>
  <si>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</si>
  <si>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</si>
  <si>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</si>
  <si>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</si>
  <si>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</si>
  <si>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</si>
  <si>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</si>
  <si>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</si>
  <si>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</si>
  <si>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</si>
  <si>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</si>
  <si>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</si>
  <si>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</si>
  <si>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</si>
  <si>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</si>
  <si>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</si>
  <si>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</si>
  <si>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</si>
  <si>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</si>
  <si>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</si>
  <si>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</si>
  <si>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</si>
  <si>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</si>
  <si>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</si>
  <si>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</si>
  <si>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</si>
  <si>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</si>
  <si>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</si>
  <si>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</si>
  <si>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</si>
  <si>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</si>
  <si>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</si>
  <si>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</si>
  <si>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</si>
  <si>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</si>
  <si>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</si>
  <si>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</si>
  <si>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</si>
  <si>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</si>
  <si>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</si>
  <si>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</si>
  <si>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</si>
  <si>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</si>
  <si>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</si>
  <si>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</si>
  <si>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</si>
  <si>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</si>
  <si>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</si>
  <si>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</si>
  <si>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</si>
  <si>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</si>
  <si>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</si>
  <si>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</si>
  <si>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</si>
  <si>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</si>
  <si>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</si>
  <si>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</si>
  <si>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</si>
  <si>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</si>
  <si>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</si>
  <si>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</si>
  <si>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</si>
  <si>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</si>
  <si>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</si>
  <si>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</si>
  <si>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</si>
  <si>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</si>
  <si>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</si>
  <si>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</si>
  <si>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</si>
  <si>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</si>
  <si>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</si>
  <si>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</si>
  <si>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</si>
  <si>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</si>
  <si>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</si>
  <si>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</si>
  <si>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</si>
  <si>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</si>
  <si>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</si>
  <si>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</si>
  <si>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</si>
  <si>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</si>
  <si>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</si>
  <si>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</si>
  <si>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</si>
  <si>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</si>
  <si>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</si>
  <si>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</si>
  <si>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</si>
  <si>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</si>
  <si>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</si>
  <si>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</si>
  <si>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</si>
  <si>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</si>
  <si>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</si>
  <si>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</si>
  <si>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</si>
  <si>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</si>
  <si>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</si>
  <si>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</si>
  <si>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</si>
  <si>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</si>
  <si>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</si>
  <si>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</si>
  <si>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</si>
  <si>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</si>
  <si>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</si>
  <si>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</si>
  <si>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</si>
  <si>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</si>
  <si>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</si>
  <si>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</si>
  <si>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</si>
  <si>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</si>
  <si>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</si>
  <si>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</si>
  <si>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</si>
  <si>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</si>
  <si>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</si>
  <si>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</si>
  <si>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</si>
  <si>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</si>
  <si>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</si>
  <si>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</si>
  <si>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</si>
  <si>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</si>
  <si>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</si>
  <si>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</si>
  <si>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</si>
  <si>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</si>
  <si>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</si>
  <si>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</si>
  <si>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</si>
  <si>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</si>
  <si>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</si>
  <si>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</si>
  <si>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</si>
  <si>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</si>
  <si>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</si>
  <si>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</si>
  <si>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</si>
  <si>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</si>
  <si>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</si>
  <si>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</si>
  <si>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</si>
  <si>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</si>
  <si>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</si>
  <si>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</si>
  <si>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</si>
  <si>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</si>
  <si>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</si>
  <si>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</si>
  <si>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</si>
  <si>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</si>
  <si>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</si>
  <si>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</si>
  <si>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</si>
  <si>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</si>
  <si>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</si>
  <si>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</si>
  <si>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</si>
  <si>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</si>
  <si>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</si>
  <si>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</si>
  <si>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</si>
  <si>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</si>
  <si>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</si>
  <si>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</si>
  <si>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</si>
  <si>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</si>
  <si>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</si>
  <si>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</si>
  <si>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</si>
  <si>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</si>
  <si>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</si>
  <si>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</si>
  <si>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</si>
  <si>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</si>
  <si>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</si>
  <si>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</si>
  <si>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</si>
  <si>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</si>
  <si>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</si>
  <si>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</si>
  <si>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</si>
  <si>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</si>
  <si>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</si>
  <si>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</si>
  <si>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</si>
  <si>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</si>
  <si>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</si>
  <si>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</si>
  <si>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</si>
  <si>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</si>
  <si>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</si>
  <si>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</si>
  <si>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</si>
  <si>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</si>
  <si>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</si>
  <si>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</si>
  <si>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</si>
  <si>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</si>
  <si>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</si>
  <si>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</si>
  <si>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</si>
  <si>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</si>
  <si>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</si>
  <si>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</si>
  <si>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</si>
  <si>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</si>
  <si>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</si>
  <si>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</si>
  <si>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</si>
  <si>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</si>
  <si>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</si>
  <si>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</si>
  <si>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</si>
  <si>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</si>
  <si>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</si>
  <si>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</si>
  <si>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</si>
  <si>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</si>
  <si>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</si>
  <si>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</si>
  <si>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</si>
  <si>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</si>
  <si>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</si>
  <si>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</si>
  <si>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</si>
  <si>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</si>
  <si>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</si>
  <si>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</si>
  <si>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</si>
  <si>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</si>
  <si>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</si>
  <si>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</si>
  <si>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</si>
  <si>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</si>
  <si>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</si>
  <si>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</si>
  <si>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</si>
  <si>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</si>
  <si>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</si>
  <si>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</si>
  <si>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</si>
  <si>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</si>
  <si>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</si>
  <si>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</si>
  <si>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</si>
  <si>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</si>
  <si>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</si>
  <si>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</si>
  <si>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</si>
  <si>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</si>
  <si>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</si>
  <si>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</si>
  <si>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</si>
  <si>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</si>
  <si>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</si>
  <si>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</si>
  <si>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</si>
  <si>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</si>
  <si>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</si>
  <si>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</si>
  <si>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</si>
  <si>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</si>
  <si>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</si>
  <si>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</si>
  <si>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</si>
  <si>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</si>
  <si>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</si>
  <si>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</si>
  <si>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</si>
  <si>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</si>
  <si>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</si>
  <si>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</si>
  <si>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</si>
  <si>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</si>
  <si>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</si>
  <si>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</si>
  <si>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</si>
  <si>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</si>
  <si>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</si>
  <si>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</si>
  <si>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</si>
  <si>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</si>
  <si>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</si>
  <si>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</si>
  <si>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</si>
  <si>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</si>
  <si>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</si>
  <si>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</si>
  <si>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</si>
  <si>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</si>
  <si>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</si>
  <si>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</si>
  <si>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</si>
  <si>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</si>
  <si>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</si>
  <si>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</si>
  <si>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</si>
  <si>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</si>
  <si>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</si>
  <si>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</si>
  <si>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</si>
  <si>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</si>
  <si>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</si>
  <si>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</si>
  <si>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</si>
  <si>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</si>
  <si>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</si>
  <si>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</si>
  <si>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</si>
  <si>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</si>
  <si>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</si>
  <si>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</si>
  <si>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</si>
  <si>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</si>
  <si>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</si>
  <si>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</si>
  <si>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</si>
  <si>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</si>
  <si>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</si>
  <si>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</si>
  <si>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</si>
  <si>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</si>
  <si>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</si>
  <si>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</si>
  <si>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</si>
  <si>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</si>
  <si>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</si>
  <si>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</si>
  <si>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</si>
  <si>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</si>
  <si>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</si>
  <si>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</si>
  <si>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</si>
  <si>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</si>
  <si>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</si>
  <si>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</si>
  <si>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</si>
  <si>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</si>
  <si>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</si>
  <si>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</si>
  <si>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</si>
  <si>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</si>
  <si>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</si>
  <si>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</si>
  <si>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</si>
  <si>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</si>
  <si>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</si>
  <si>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</si>
  <si>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</si>
  <si>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</si>
  <si>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</si>
  <si>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</si>
  <si>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</si>
  <si>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</si>
  <si>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</si>
  <si>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</si>
  <si>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</si>
  <si>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</si>
  <si>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</si>
  <si>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</si>
  <si>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</si>
  <si>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</si>
  <si>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</si>
  <si>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</si>
  <si>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</si>
  <si>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</si>
  <si>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</si>
  <si>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</si>
  <si>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</si>
  <si>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</si>
  <si>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</si>
  <si>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</si>
  <si>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</si>
  <si>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</si>
  <si>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</si>
  <si>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</si>
  <si>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</si>
  <si>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</si>
  <si>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</si>
  <si>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</si>
  <si>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</si>
  <si>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</si>
  <si>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</si>
  <si>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</si>
  <si>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</si>
  <si>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</si>
  <si>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</si>
  <si>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</si>
  <si>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</si>
  <si>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</si>
  <si>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</si>
  <si>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</si>
  <si>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</si>
  <si>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</si>
  <si>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</si>
  <si>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</si>
  <si>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</si>
  <si>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</si>
  <si>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</si>
  <si>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</si>
  <si>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</si>
  <si>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</si>
  <si>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</si>
  <si>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</si>
  <si>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</si>
  <si>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</si>
  <si>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</si>
  <si>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</si>
  <si>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</si>
  <si>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</si>
  <si>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</si>
  <si>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</si>
  <si>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</si>
  <si>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</si>
  <si>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</si>
  <si>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</si>
  <si>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</si>
  <si>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</si>
  <si>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</si>
  <si>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</si>
  <si>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</si>
  <si>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</si>
  <si>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</si>
  <si>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</si>
  <si>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</si>
  <si>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</si>
  <si>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</si>
  <si>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</si>
  <si>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</si>
  <si>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</si>
  <si>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</si>
  <si>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</si>
  <si>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</si>
  <si>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</si>
  <si>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</si>
  <si>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</si>
  <si>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</si>
  <si>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</si>
  <si>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</si>
  <si>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</si>
  <si>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</si>
  <si>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</si>
  <si>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</si>
  <si>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</si>
  <si>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</si>
  <si>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</si>
  <si>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</si>
  <si>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</si>
  <si>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</si>
  <si>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</si>
  <si>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</si>
  <si>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</si>
  <si>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</si>
  <si>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</si>
  <si>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</si>
  <si>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</si>
  <si>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</si>
  <si>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</si>
  <si>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</si>
  <si>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</si>
  <si>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</si>
  <si>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</si>
  <si>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</si>
  <si>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</si>
  <si>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</si>
  <si>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</si>
  <si>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</si>
  <si>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</si>
  <si>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</si>
  <si>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</si>
  <si>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</si>
  <si>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</si>
  <si>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</si>
  <si>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</si>
  <si>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</si>
  <si>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</si>
  <si>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</si>
  <si>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</si>
  <si>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</si>
  <si>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</si>
  <si>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</si>
  <si>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</si>
  <si>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</si>
  <si>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</si>
  <si>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</si>
  <si>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</si>
  <si>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</si>
  <si>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</si>
  <si>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</si>
  <si>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</si>
  <si>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</si>
  <si>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</si>
  <si>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</si>
  <si>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</si>
  <si>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</si>
  <si>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</si>
  <si>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</si>
  <si>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</si>
  <si>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</si>
  <si>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</si>
  <si>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</si>
  <si>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</si>
  <si>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</si>
  <si>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</si>
  <si>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</si>
  <si>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</si>
  <si>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</si>
  <si>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</si>
  <si>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</si>
  <si>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</si>
  <si>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</si>
  <si>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</si>
  <si>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</si>
  <si>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</si>
  <si>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</si>
  <si>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</si>
  <si>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</si>
  <si>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</si>
  <si>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</si>
  <si>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</si>
  <si>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</si>
  <si>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</si>
  <si>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</si>
  <si>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</si>
  <si>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</si>
  <si>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</si>
  <si>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</si>
  <si>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</si>
  <si>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</si>
  <si>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</si>
  <si>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</si>
  <si>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</si>
  <si>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</si>
  <si>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</si>
  <si>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</si>
  <si>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</si>
  <si>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</si>
  <si>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</si>
  <si>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</si>
  <si>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</si>
  <si>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</si>
  <si>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</si>
  <si>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</si>
  <si>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</si>
  <si>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</si>
  <si>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</si>
  <si>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</si>
  <si>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</si>
  <si>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</si>
  <si>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</si>
  <si>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</si>
  <si>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</si>
  <si>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</si>
  <si>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</si>
  <si>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</si>
  <si>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</si>
  <si>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</si>
  <si>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</si>
  <si>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</si>
  <si>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</si>
  <si>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</si>
  <si>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</si>
  <si>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</si>
  <si>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</si>
  <si>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</si>
  <si>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</si>
  <si>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</si>
  <si>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</si>
  <si>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</si>
  <si>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</si>
  <si>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</si>
  <si>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</si>
  <si>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</si>
  <si>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</si>
  <si>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</si>
  <si>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</si>
  <si>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</si>
  <si>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</si>
  <si>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</si>
  <si>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</si>
  <si>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</si>
  <si>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</si>
  <si>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</si>
  <si>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</si>
  <si>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</si>
  <si>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</si>
  <si>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</si>
  <si>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</si>
  <si>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</si>
  <si>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</si>
  <si>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</si>
  <si>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</si>
  <si>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</si>
  <si>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</si>
  <si>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</si>
  <si>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</si>
  <si>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</si>
  <si>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</si>
  <si>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</si>
  <si>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</si>
  <si>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</si>
  <si>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</si>
  <si>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</si>
  <si>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</si>
  <si>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</si>
  <si>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</si>
  <si>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</si>
  <si>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</si>
  <si>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</si>
  <si>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</si>
  <si>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</si>
  <si>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</si>
  <si>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</si>
  <si>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</si>
  <si>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</si>
  <si>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</si>
  <si>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</si>
  <si>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</si>
  <si>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</si>
  <si>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</si>
  <si>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</si>
  <si>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</si>
  <si>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</si>
  <si>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</si>
  <si>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</si>
  <si>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</si>
  <si>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</si>
  <si>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</si>
  <si>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</si>
  <si>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</si>
  <si>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</si>
  <si>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</si>
  <si>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</si>
  <si>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</si>
  <si>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</si>
  <si>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</si>
  <si>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</si>
  <si>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</si>
  <si>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</si>
  <si>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</si>
  <si>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</si>
  <si>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</si>
  <si>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</si>
  <si>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</si>
  <si>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</si>
  <si>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</si>
  <si>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</si>
  <si>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</si>
  <si>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</si>
  <si>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</si>
  <si>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</si>
  <si>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</si>
  <si>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</si>
  <si>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</si>
  <si>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</si>
  <si>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</si>
  <si>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</si>
  <si>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</si>
  <si>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</si>
  <si>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</si>
  <si>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</si>
  <si>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</si>
  <si>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</si>
  <si>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</si>
  <si>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</si>
  <si>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</si>
  <si>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</si>
  <si>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</si>
  <si>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</si>
  <si>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</si>
  <si>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</si>
  <si>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</si>
  <si>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</si>
  <si>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</si>
  <si>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</si>
  <si>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</si>
  <si>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</si>
  <si>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</si>
  <si>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</si>
  <si>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</si>
  <si>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</si>
  <si>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</si>
  <si>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</si>
  <si>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</si>
  <si>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</si>
  <si>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</si>
  <si>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</si>
  <si>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</si>
  <si>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</si>
  <si>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</si>
  <si>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</si>
  <si>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</si>
  <si>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</si>
  <si>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</si>
  <si>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</si>
  <si>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</si>
  <si>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</si>
  <si>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</si>
  <si>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</si>
  <si>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</si>
  <si>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</si>
  <si>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</si>
  <si>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</si>
  <si>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</si>
  <si>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</si>
  <si>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</si>
  <si>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</si>
  <si>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</si>
  <si>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</si>
  <si>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</si>
  <si>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</si>
  <si>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</si>
  <si>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</si>
  <si>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</si>
  <si>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</si>
  <si>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</si>
  <si>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</si>
  <si>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</si>
  <si>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</si>
  <si>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</si>
  <si>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</si>
  <si>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</si>
  <si>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</si>
  <si>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</si>
  <si>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</si>
  <si>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</si>
  <si>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</si>
  <si>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</si>
  <si>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</si>
  <si>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</si>
  <si>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</si>
  <si>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</si>
  <si>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</si>
  <si>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</si>
  <si>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</si>
  <si>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</si>
  <si>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</si>
  <si>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</si>
  <si>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</si>
  <si>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</si>
  <si>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</si>
  <si>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</si>
  <si>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</si>
  <si>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</si>
  <si>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</si>
  <si>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</si>
  <si>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</si>
  <si>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</si>
  <si>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</si>
  <si>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</si>
  <si>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</si>
  <si>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</si>
  <si>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</si>
  <si>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</si>
  <si>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</si>
  <si>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</si>
  <si>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</si>
  <si>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</si>
  <si>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</si>
  <si>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</si>
  <si>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</si>
  <si>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</si>
  <si>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</si>
  <si>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</si>
  <si>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</si>
  <si>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</si>
  <si>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</si>
  <si>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</si>
  <si>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</si>
  <si>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</si>
  <si>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</si>
  <si>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</si>
  <si>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</si>
  <si>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</si>
  <si>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</si>
  <si>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</si>
  <si>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</si>
  <si>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</si>
  <si>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</si>
  <si>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</si>
  <si>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</si>
  <si>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</si>
  <si>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</si>
  <si>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</si>
  <si>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</si>
  <si>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</si>
  <si>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</si>
  <si>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</si>
  <si>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</si>
  <si>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</si>
  <si>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</si>
  <si>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</si>
  <si>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</si>
  <si>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</si>
  <si>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</si>
  <si>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</si>
  <si>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</si>
  <si>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</si>
  <si>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</si>
  <si>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</si>
  <si>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</si>
  <si>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</si>
  <si>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</si>
  <si>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</si>
  <si>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</si>
  <si>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</si>
  <si>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</si>
  <si>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</si>
  <si>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</si>
  <si>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</si>
  <si>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</si>
  <si>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</si>
  <si>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</si>
  <si>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</si>
  <si>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</si>
  <si>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</si>
  <si>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</si>
  <si>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</si>
  <si>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</si>
  <si>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</si>
  <si>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</si>
  <si>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</si>
  <si>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</si>
  <si>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</si>
  <si>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</si>
  <si>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</si>
  <si>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</si>
  <si>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</si>
  <si>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</si>
  <si>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</si>
  <si>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</si>
  <si>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</si>
  <si>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</si>
  <si>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</si>
  <si>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</si>
  <si>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</si>
  <si>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</si>
  <si>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</si>
  <si>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</si>
  <si>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</si>
  <si>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</si>
  <si>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</si>
  <si>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</si>
  <si>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</si>
  <si>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</si>
  <si>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</si>
  <si>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</si>
  <si>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</si>
  <si>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</si>
  <si>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</si>
  <si>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</si>
  <si>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</si>
  <si>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</si>
  <si>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</si>
  <si>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</si>
  <si>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</si>
  <si>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</si>
  <si>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</si>
  <si>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</si>
  <si>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</si>
  <si>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</si>
  <si>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</si>
  <si>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</si>
  <si>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</si>
  <si>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</si>
  <si>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</si>
  <si>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</si>
  <si>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</si>
  <si>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</si>
  <si>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</si>
  <si>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</si>
  <si>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</si>
  <si>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</si>
  <si>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</si>
  <si>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</si>
  <si>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</si>
  <si>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</si>
  <si>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</si>
  <si>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</si>
  <si>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</si>
  <si>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</si>
  <si>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</si>
  <si>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</si>
  <si>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</si>
  <si>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</si>
  <si>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</si>
  <si>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</si>
  <si>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</si>
  <si>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</si>
  <si>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</si>
  <si>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</si>
  <si>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</si>
  <si>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</si>
  <si>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</si>
  <si>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</si>
  <si>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</si>
  <si>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</si>
  <si>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</si>
  <si>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</si>
  <si>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</si>
  <si>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</si>
  <si>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</si>
  <si>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</si>
  <si>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</si>
  <si>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</si>
  <si>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</si>
  <si>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</si>
  <si>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</si>
  <si>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</si>
  <si>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</si>
  <si>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</si>
  <si>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</si>
  <si>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</si>
  <si>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</si>
  <si>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</si>
  <si>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</si>
  <si>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</si>
  <si>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</si>
  <si>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</si>
  <si>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</si>
  <si>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</si>
  <si>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</si>
  <si>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</si>
  <si>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</si>
  <si>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</si>
  <si>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</si>
  <si>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</si>
  <si>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</si>
  <si>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</si>
  <si>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</si>
  <si>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</si>
  <si>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</si>
  <si>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</si>
  <si>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</si>
  <si>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</si>
  <si>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</si>
  <si>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</si>
  <si>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</si>
  <si>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</si>
  <si>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</si>
  <si>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</si>
  <si>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</si>
  <si>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</si>
  <si>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</si>
  <si>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</si>
  <si>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</si>
  <si>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</si>
  <si>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</si>
  <si>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</si>
  <si>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</si>
  <si>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</si>
  <si>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</si>
  <si>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</si>
  <si>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</si>
  <si>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</si>
  <si>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</si>
  <si>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</si>
  <si>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</si>
  <si>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</si>
  <si>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</si>
  <si>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</si>
  <si>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</si>
  <si>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</si>
  <si>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</si>
  <si>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</si>
  <si>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</si>
  <si>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</si>
  <si>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</si>
  <si>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</si>
  <si>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</si>
  <si>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</si>
  <si>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</si>
  <si>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</si>
  <si>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</si>
  <si>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</si>
  <si>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</si>
  <si>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</si>
  <si>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</si>
  <si>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</si>
  <si>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</si>
  <si>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</si>
  <si>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</si>
  <si>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</si>
  <si>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</si>
  <si>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</si>
  <si>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</si>
  <si>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</si>
  <si>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</si>
  <si>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</si>
  <si>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</si>
  <si>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</si>
  <si>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</si>
  <si>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</si>
  <si>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</si>
  <si>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</si>
  <si>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</si>
  <si>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</si>
  <si>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</si>
  <si>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</si>
  <si>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</si>
  <si>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</si>
  <si>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</si>
  <si>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</si>
  <si>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</si>
  <si>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</si>
  <si>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</si>
  <si>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</si>
  <si>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</si>
  <si>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</si>
  <si>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</si>
  <si>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</si>
  <si>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</si>
  <si>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</si>
  <si>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</si>
  <si>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</si>
  <si>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</si>
  <si>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</si>
  <si>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</si>
  <si>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</si>
  <si>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</si>
  <si>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</si>
  <si>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</si>
  <si>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</si>
  <si>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</si>
  <si>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</si>
  <si>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</si>
  <si>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</si>
  <si>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</si>
  <si>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</si>
  <si>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</si>
  <si>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</si>
  <si>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</si>
  <si>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</si>
  <si>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</si>
  <si>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</si>
  <si>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</si>
  <si>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</si>
  <si>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</si>
  <si>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</si>
  <si>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</si>
  <si>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</si>
  <si>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</si>
  <si>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</si>
  <si>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</si>
  <si>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</si>
  <si>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</si>
  <si>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</si>
  <si>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</si>
  <si>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</si>
  <si>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</si>
  <si>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</si>
  <si>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</si>
  <si>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</si>
  <si>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</si>
  <si>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</si>
  <si>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</si>
  <si>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</si>
  <si>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</si>
  <si>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</si>
  <si>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</si>
  <si>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</si>
  <si>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</si>
  <si>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</si>
  <si>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</si>
  <si>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</si>
  <si>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</si>
  <si>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</si>
  <si>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</si>
  <si>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</si>
  <si>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</si>
  <si>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</si>
  <si>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</si>
  <si>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</si>
  <si>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</si>
  <si>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</si>
  <si>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</si>
  <si>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</si>
  <si>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</si>
  <si>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</si>
  <si>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</si>
  <si>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</si>
  <si>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</si>
  <si>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</si>
  <si>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</si>
  <si>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</si>
  <si>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</si>
  <si>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</si>
  <si>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</si>
  <si>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</si>
  <si>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</si>
  <si>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</si>
  <si>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</si>
  <si>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</si>
  <si>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</si>
  <si>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</si>
  <si>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</si>
  <si>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</si>
  <si>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</si>
  <si>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</si>
  <si>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</si>
  <si>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</si>
  <si>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</si>
  <si>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</si>
  <si>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</si>
  <si>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</si>
  <si>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</si>
  <si>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</si>
  <si>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</si>
  <si>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</si>
  <si>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</si>
  <si>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</si>
  <si>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</si>
  <si>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</si>
  <si>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</si>
  <si>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</si>
  <si>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</si>
  <si>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</si>
  <si>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</si>
  <si>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</si>
  <si>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</si>
  <si>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</si>
  <si>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</si>
  <si>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</si>
  <si>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</si>
  <si>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</si>
  <si>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</si>
  <si>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</si>
  <si>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</si>
  <si>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</si>
  <si>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</si>
  <si>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</si>
  <si>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</si>
  <si>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</si>
  <si>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</si>
  <si>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</si>
  <si>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</si>
  <si>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</si>
  <si>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</si>
  <si>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</si>
  <si>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</si>
  <si>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</si>
  <si>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</si>
  <si>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</si>
  <si>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</si>
  <si>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</si>
  <si>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</si>
  <si>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</si>
  <si>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</si>
  <si>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</si>
  <si>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</si>
  <si>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</si>
  <si>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</si>
  <si>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</si>
  <si>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</si>
  <si>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</si>
  <si>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</si>
  <si>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</si>
  <si>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</si>
  <si>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</si>
  <si>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</si>
  <si>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</si>
  <si>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</si>
  <si>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</si>
  <si>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</si>
  <si>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</si>
  <si>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</si>
  <si>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</si>
  <si>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</si>
  <si>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</si>
  <si>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</si>
  <si>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</si>
  <si>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</si>
  <si>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</si>
  <si>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</si>
  <si>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</si>
  <si>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</si>
  <si>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</si>
  <si>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</si>
  <si>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</si>
  <si>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</si>
  <si>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</si>
  <si>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</si>
  <si>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</si>
  <si>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</si>
  <si>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</si>
  <si>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</si>
  <si>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</si>
  <si>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</si>
  <si>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</si>
  <si>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</si>
  <si>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</si>
  <si>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</si>
  <si>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</si>
  <si>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</si>
  <si>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</si>
  <si>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</si>
  <si>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</si>
  <si>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</si>
  <si>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</si>
  <si>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</si>
  <si>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</si>
  <si>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</si>
  <si>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</si>
  <si>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</si>
  <si>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</si>
  <si>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</si>
  <si>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</si>
  <si>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</si>
  <si>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</si>
  <si>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</si>
  <si>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</si>
  <si>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</si>
  <si>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</si>
  <si>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</si>
  <si>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</si>
  <si>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</si>
  <si>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</si>
  <si>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</si>
  <si>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</si>
  <si>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</si>
  <si>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</si>
  <si>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</si>
  <si>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</si>
  <si>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</si>
  <si>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</si>
  <si>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</si>
  <si>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</si>
  <si>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</si>
  <si>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</si>
  <si>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</si>
  <si>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</si>
  <si>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</si>
  <si>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</si>
  <si>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</si>
  <si>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</si>
  <si>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</si>
  <si>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</si>
  <si>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</si>
  <si>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</si>
  <si>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</si>
  <si>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</si>
  <si>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</si>
  <si>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</si>
  <si>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</si>
  <si>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</si>
  <si>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</si>
  <si>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</si>
  <si>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</si>
  <si>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</si>
  <si>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</si>
  <si>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</si>
  <si>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</si>
  <si>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</si>
  <si>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</si>
  <si>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</si>
  <si>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</si>
  <si>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</si>
  <si>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</si>
  <si>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</si>
  <si>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</si>
  <si>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</si>
  <si>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</si>
  <si>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</si>
  <si>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</si>
  <si>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</si>
  <si>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</si>
  <si>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</si>
  <si>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</si>
  <si>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</si>
  <si>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</si>
  <si>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</si>
  <si>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</si>
  <si>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</si>
  <si>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</si>
  <si>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</si>
  <si>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</si>
  <si>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</si>
  <si>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</si>
  <si>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</si>
  <si>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</si>
  <si>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</si>
  <si>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</si>
  <si>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</si>
  <si>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</si>
  <si>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</si>
  <si>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</si>
  <si>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</si>
  <si>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</si>
  <si>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</si>
  <si>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</si>
  <si>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</si>
  <si>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</si>
  <si>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</si>
  <si>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</si>
  <si>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</si>
  <si>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</si>
  <si>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</si>
  <si>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</si>
  <si>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</si>
  <si>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</si>
  <si>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</si>
  <si>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</si>
  <si>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</si>
  <si>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</si>
  <si>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</si>
  <si>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</si>
  <si>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</si>
  <si>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</si>
  <si>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</si>
  <si>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</si>
  <si>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</si>
  <si>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</si>
  <si>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</si>
  <si>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</si>
  <si>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</si>
  <si>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</si>
  <si>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</si>
  <si>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</si>
  <si>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</si>
  <si>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</si>
  <si>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</si>
  <si>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</si>
  <si>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</si>
  <si>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</si>
  <si>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</si>
  <si>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</si>
  <si>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</si>
  <si>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</si>
  <si>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</si>
  <si>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</si>
  <si>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</si>
  <si>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</si>
  <si>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</si>
  <si>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</si>
  <si>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</si>
  <si>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</si>
  <si>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</si>
  <si>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</si>
  <si>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</si>
  <si>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</si>
  <si>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</si>
  <si>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</si>
  <si>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</si>
  <si>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</si>
  <si>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</si>
  <si>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</si>
  <si>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</si>
  <si>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</si>
  <si>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</si>
  <si>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</si>
  <si>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</si>
  <si>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</si>
  <si>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</si>
  <si>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</si>
  <si>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</si>
  <si>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</si>
  <si>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</si>
  <si>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</si>
  <si>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</si>
  <si>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</si>
  <si>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</si>
  <si>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</si>
  <si>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</si>
  <si>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</si>
  <si>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</si>
  <si>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</si>
  <si>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</si>
  <si>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</si>
  <si>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</si>
  <si>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</si>
  <si>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</si>
  <si>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</si>
  <si>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</si>
  <si>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</si>
  <si>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</si>
  <si>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</si>
  <si>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</si>
  <si>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</si>
  <si>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</si>
  <si>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</si>
  <si>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</si>
  <si>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</si>
  <si>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</si>
  <si>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</si>
  <si>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</si>
  <si>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</si>
  <si>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</si>
  <si>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</si>
  <si>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</si>
  <si>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</si>
  <si>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</si>
  <si>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</si>
  <si>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</si>
  <si>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</si>
  <si>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</si>
  <si>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</si>
  <si>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</si>
  <si>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</si>
  <si>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</si>
  <si>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</si>
  <si>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</si>
  <si>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</si>
  <si>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</si>
  <si>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</si>
  <si>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</si>
  <si>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</si>
  <si>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</si>
  <si>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</si>
  <si>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</si>
  <si>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</si>
  <si>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</si>
  <si>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</si>
  <si>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</si>
  <si>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</si>
  <si>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</si>
  <si>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</si>
  <si>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</si>
  <si>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</si>
  <si>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</si>
  <si>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</si>
  <si>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</si>
  <si>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</si>
  <si>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</si>
  <si>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</si>
  <si>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</si>
  <si>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</si>
  <si>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</si>
  <si>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</si>
  <si>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</si>
  <si>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</si>
  <si>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</si>
  <si>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</si>
  <si>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</si>
  <si>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</si>
  <si>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</si>
  <si>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</si>
  <si>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</si>
  <si>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</si>
  <si>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</si>
  <si>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</si>
  <si>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</si>
  <si>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</si>
  <si>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</si>
  <si>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</si>
  <si>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</si>
  <si>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</si>
  <si>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</si>
  <si>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</si>
  <si>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</si>
  <si>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</si>
  <si>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</si>
  <si>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</si>
  <si>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</si>
  <si>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</si>
  <si>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</si>
  <si>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</si>
  <si>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</si>
  <si>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</si>
  <si>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</si>
  <si>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</si>
  <si>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</si>
  <si>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</si>
  <si>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</si>
  <si>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</si>
  <si>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</si>
  <si>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</si>
  <si>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</si>
  <si>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</si>
  <si>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</si>
  <si>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</si>
  <si>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</si>
  <si>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</si>
  <si>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</si>
  <si>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</si>
  <si>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</si>
  <si>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</si>
  <si>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</si>
  <si>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</si>
  <si>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</si>
  <si>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</si>
  <si>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</si>
  <si>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</si>
  <si>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</si>
  <si>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</si>
  <si>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</si>
  <si>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</si>
  <si>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</si>
  <si>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</si>
  <si>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</si>
  <si>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</si>
  <si>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</si>
  <si>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</si>
  <si>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</si>
  <si>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</si>
  <si>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</si>
  <si>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</si>
  <si>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</si>
  <si>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</si>
  <si>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</si>
  <si>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</si>
  <si>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</si>
  <si>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</si>
  <si>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</si>
  <si>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</si>
  <si>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</si>
  <si>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</si>
  <si>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</si>
  <si>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</si>
  <si>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</si>
  <si>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</si>
  <si>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</si>
  <si>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</si>
  <si>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</si>
  <si>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</si>
  <si>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</si>
  <si>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</si>
  <si>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</si>
  <si>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</si>
  <si>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</si>
  <si>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</si>
  <si>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</si>
  <si>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</si>
  <si>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</si>
  <si>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</si>
  <si>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</si>
  <si>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</si>
  <si>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</si>
  <si>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</si>
  <si>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</si>
  <si>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</si>
  <si>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</si>
  <si>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</si>
  <si>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</si>
  <si>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</si>
  <si>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</si>
  <si>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</si>
  <si>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</si>
  <si>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</si>
  <si>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</si>
  <si>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</si>
  <si>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</si>
  <si>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</si>
  <si>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</si>
  <si>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</si>
  <si>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</si>
  <si>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</si>
  <si>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</si>
  <si>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</si>
  <si>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</si>
  <si>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</si>
  <si>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</si>
  <si>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</si>
  <si>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</si>
  <si>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</si>
  <si>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</si>
  <si>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</si>
  <si>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</si>
  <si>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</si>
  <si>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</si>
  <si>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</si>
  <si>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</si>
  <si>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</si>
  <si>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</si>
  <si>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</si>
  <si>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</si>
  <si>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</si>
  <si>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</si>
  <si>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</si>
  <si>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</si>
  <si>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</si>
  <si>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</si>
  <si>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</si>
  <si>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</si>
  <si>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</si>
  <si>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</si>
  <si>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</si>
  <si>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</si>
  <si>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</si>
  <si>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</si>
  <si>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</si>
  <si>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</si>
  <si>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</si>
  <si>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</si>
  <si>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</si>
  <si>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</si>
  <si>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</si>
  <si>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</si>
  <si>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</si>
  <si>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</si>
  <si>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</si>
  <si>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</si>
  <si>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</si>
  <si>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</si>
  <si>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</si>
  <si>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</si>
  <si>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</si>
  <si>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</si>
  <si>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</si>
  <si>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</si>
  <si>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</si>
  <si>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</si>
  <si>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</si>
  <si>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</si>
  <si>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</si>
  <si>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</si>
  <si>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</si>
  <si>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</si>
  <si>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</si>
  <si>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</si>
  <si>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</si>
  <si>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</si>
  <si>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</si>
  <si>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</si>
  <si>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</si>
  <si>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</si>
  <si>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</si>
  <si>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</si>
  <si>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</si>
  <si>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</si>
  <si>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</si>
  <si>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</si>
  <si>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</si>
  <si>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</si>
  <si>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</si>
  <si>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</si>
  <si>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</si>
  <si>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</si>
  <si>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</si>
  <si>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</si>
  <si>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</si>
  <si>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</si>
  <si>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</si>
  <si>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</si>
  <si>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</si>
  <si>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</si>
  <si>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</si>
  <si>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</si>
  <si>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</si>
  <si>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</si>
  <si>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</si>
  <si>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</si>
  <si>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</si>
  <si>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</si>
  <si>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</si>
  <si>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</si>
  <si>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</si>
  <si>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</si>
  <si>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</si>
  <si>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</si>
  <si>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</si>
  <si>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</si>
  <si>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</si>
  <si>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</si>
  <si>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</si>
  <si>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</si>
  <si>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</si>
  <si>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</si>
  <si>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</si>
  <si>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</si>
  <si>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</si>
  <si>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</si>
  <si>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</si>
  <si>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</si>
  <si>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</si>
  <si>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</si>
  <si>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</si>
  <si>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</si>
  <si>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</si>
  <si>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</si>
  <si>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</si>
  <si>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</si>
  <si>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</si>
  <si>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</si>
  <si>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</si>
  <si>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</si>
  <si>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</si>
  <si>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</si>
  <si>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</si>
  <si>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</si>
  <si>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</si>
  <si>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</si>
  <si>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</si>
  <si>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</si>
  <si>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</si>
  <si>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</si>
  <si>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</si>
  <si>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</si>
  <si>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</si>
  <si>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</si>
  <si>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</si>
  <si>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</si>
  <si>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</si>
  <si>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</si>
  <si>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</si>
  <si>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</si>
  <si>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</si>
  <si>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</si>
  <si>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</si>
  <si>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</si>
  <si>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</si>
  <si>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</si>
  <si>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</si>
  <si>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</si>
  <si>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</si>
  <si>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</si>
  <si>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</si>
  <si>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</si>
  <si>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</si>
  <si>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</si>
  <si>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</si>
  <si>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</si>
  <si>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</si>
  <si>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</si>
  <si>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</si>
  <si>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</si>
  <si>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</si>
  <si>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</si>
  <si>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</si>
  <si>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</si>
  <si>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</si>
  <si>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</si>
  <si>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</si>
  <si>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</si>
  <si>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</si>
  <si>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</si>
  <si>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</si>
  <si>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</si>
  <si>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</si>
  <si>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</si>
  <si>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</si>
  <si>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</si>
  <si>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</si>
  <si>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</si>
  <si>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</si>
  <si>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</si>
  <si>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</si>
  <si>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</si>
  <si>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</si>
  <si>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</si>
  <si>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</si>
  <si>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</si>
  <si>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</si>
  <si>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</si>
  <si>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</si>
  <si>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</si>
  <si>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</si>
  <si>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</si>
  <si>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</si>
  <si>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</si>
  <si>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</si>
  <si>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</si>
  <si>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</si>
  <si>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</si>
  <si>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</si>
  <si>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</si>
  <si>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</si>
  <si>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</si>
  <si>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</si>
  <si>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</si>
  <si>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</si>
  <si>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</si>
  <si>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</si>
  <si>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</si>
  <si>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</si>
  <si>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</si>
  <si>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</si>
  <si>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</si>
  <si>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</si>
  <si>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</si>
  <si>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</si>
  <si>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</si>
  <si>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</si>
  <si>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</si>
  <si>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</si>
  <si>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</si>
  <si>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</si>
  <si>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</si>
  <si>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</si>
  <si>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</si>
  <si>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</si>
  <si>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</si>
  <si>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</si>
  <si>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</si>
  <si>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</si>
  <si>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</si>
  <si>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</si>
  <si>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</si>
  <si>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</si>
  <si>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</si>
  <si>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</si>
  <si>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</si>
  <si>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</si>
  <si>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</si>
  <si>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</si>
  <si>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</si>
  <si>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</si>
  <si>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</si>
  <si>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</si>
  <si>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</si>
  <si>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</si>
  <si>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</si>
  <si>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</si>
  <si>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</si>
  <si>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</si>
  <si>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</si>
  <si>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</si>
  <si>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</si>
  <si>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</si>
  <si>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</si>
  <si>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</si>
  <si>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</si>
  <si>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</si>
  <si>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</si>
  <si>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</si>
  <si>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</si>
  <si>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</si>
  <si>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</si>
  <si>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</si>
  <si>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</si>
  <si>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</si>
  <si>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</si>
  <si>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</si>
  <si>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</si>
  <si>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</si>
  <si>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</si>
  <si>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</si>
  <si>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</si>
  <si>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</si>
  <si>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</si>
  <si>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</si>
  <si>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</si>
  <si>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</si>
  <si>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</si>
  <si>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</si>
  <si>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</si>
  <si>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</si>
  <si>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</si>
  <si>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</si>
  <si>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</si>
  <si>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</si>
  <si>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</si>
  <si>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</si>
  <si>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</si>
  <si>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</si>
  <si>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</si>
  <si>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</si>
  <si>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</si>
  <si>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</si>
  <si>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</si>
  <si>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</si>
  <si>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</si>
  <si>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</si>
  <si>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</si>
  <si>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</si>
  <si>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</si>
  <si>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</si>
  <si>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</si>
  <si>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</si>
  <si>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</si>
  <si>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</si>
  <si>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</si>
  <si>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</si>
  <si>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</si>
  <si>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</si>
  <si>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</si>
  <si>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</si>
  <si>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</si>
  <si>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</si>
  <si>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</si>
  <si>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</si>
  <si>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</si>
  <si>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</si>
  <si>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</si>
  <si>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</si>
  <si>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</si>
  <si>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</si>
  <si>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</si>
  <si>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</si>
  <si>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</si>
  <si>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</si>
  <si>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</si>
  <si>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</si>
  <si>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</si>
  <si>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</si>
  <si>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</si>
  <si>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</si>
  <si>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</si>
  <si>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</si>
  <si>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</si>
  <si>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</si>
  <si>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</si>
  <si>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</si>
  <si>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</si>
  <si>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</si>
  <si>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</si>
  <si>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</si>
  <si>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</si>
  <si>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</si>
  <si>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</si>
  <si>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</si>
  <si>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</si>
  <si>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</si>
  <si>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</si>
  <si>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</si>
  <si>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</si>
  <si>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</si>
  <si>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</si>
  <si>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</si>
  <si>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</si>
  <si>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</si>
  <si>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</si>
  <si>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</si>
  <si>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</si>
  <si>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</si>
  <si>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</si>
  <si>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</si>
  <si>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</si>
  <si>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</si>
  <si>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</si>
  <si>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</si>
  <si>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</si>
  <si>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</si>
  <si>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</si>
  <si>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</si>
  <si>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</si>
  <si>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</si>
  <si>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</si>
  <si>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</si>
  <si>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</si>
  <si>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</si>
  <si>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</si>
  <si>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</si>
  <si>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</si>
  <si>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</si>
  <si>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</si>
  <si>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</si>
  <si>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</si>
  <si>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</si>
  <si>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</si>
  <si>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</si>
  <si>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</si>
  <si>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</si>
  <si>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</si>
  <si>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</si>
  <si>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</si>
  <si>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</si>
  <si>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</si>
  <si>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</si>
  <si>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</si>
  <si>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</si>
  <si>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</si>
  <si>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</si>
  <si>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</si>
  <si>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</si>
  <si>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</si>
  <si>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</si>
  <si>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</si>
  <si>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</si>
  <si>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</si>
  <si>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</si>
  <si>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</si>
  <si>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</si>
  <si>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</si>
  <si>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</si>
  <si>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</si>
  <si>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</si>
  <si>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</si>
  <si>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</si>
  <si>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</si>
  <si>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</si>
  <si>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</si>
  <si>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</si>
  <si>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</si>
  <si>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</si>
  <si>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</si>
  <si>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</si>
  <si>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</si>
  <si>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</si>
  <si>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</si>
  <si>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</si>
  <si>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</si>
  <si>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</si>
  <si>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</si>
  <si>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</si>
  <si>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</si>
  <si>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</si>
  <si>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</si>
  <si>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</si>
  <si>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</si>
  <si>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</si>
  <si>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</si>
  <si>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</si>
  <si>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</si>
  <si>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</si>
  <si>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</si>
  <si>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</si>
  <si>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</si>
  <si>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</si>
  <si>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</si>
  <si>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</si>
  <si>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</si>
  <si>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</si>
  <si>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</si>
  <si>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</si>
  <si>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</si>
  <si>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</si>
  <si>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</si>
  <si>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</si>
  <si>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</si>
  <si>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</si>
  <si>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</si>
  <si>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</si>
  <si>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</si>
  <si>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</si>
  <si>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</si>
  <si>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</si>
  <si>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</si>
  <si>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</si>
  <si>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</si>
  <si>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</si>
  <si>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</si>
  <si>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</si>
  <si>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</si>
  <si>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</si>
  <si>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</si>
  <si>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</si>
  <si>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</si>
  <si>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</si>
  <si>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</si>
  <si>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</si>
  <si>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</si>
  <si>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</si>
  <si>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</si>
  <si>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</si>
  <si>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</si>
  <si>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</si>
  <si>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</si>
  <si>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</si>
  <si>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</si>
  <si>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</si>
  <si>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</si>
  <si>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</si>
  <si>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</si>
  <si>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</si>
  <si>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</si>
  <si>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</si>
  <si>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</si>
  <si>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</si>
  <si>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</si>
  <si>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</si>
  <si>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</si>
  <si>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</si>
  <si>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</si>
  <si>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</si>
  <si>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</si>
  <si>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</si>
  <si>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</si>
  <si>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</si>
  <si>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</si>
  <si>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</si>
  <si>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</si>
  <si>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</si>
  <si>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</si>
  <si>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</si>
  <si>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</si>
  <si>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</si>
  <si>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</si>
  <si>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</si>
  <si>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</si>
  <si>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</si>
  <si>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</si>
  <si>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</si>
  <si>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</si>
  <si>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</si>
  <si>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</si>
  <si>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</si>
  <si>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</si>
  <si>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</si>
  <si>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</si>
  <si>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</si>
  <si>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</si>
  <si>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</si>
  <si>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</si>
  <si>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</si>
  <si>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</si>
  <si>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</si>
  <si>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</si>
  <si>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</si>
  <si>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</si>
  <si>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</si>
  <si>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</si>
  <si>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</si>
  <si>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</si>
  <si>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</si>
  <si>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</si>
  <si>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</si>
  <si>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</si>
  <si>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</si>
  <si>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</si>
  <si>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</si>
  <si>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</si>
  <si>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</si>
  <si>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</si>
  <si>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</si>
  <si>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</si>
  <si>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</si>
  <si>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</si>
  <si>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</si>
  <si>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</si>
  <si>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</si>
  <si>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</si>
  <si>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</si>
  <si>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</si>
  <si>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</si>
  <si>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</si>
  <si>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</si>
  <si>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</si>
  <si>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</si>
  <si>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</si>
  <si>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</si>
  <si>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</si>
  <si>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</si>
  <si>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</si>
  <si>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</si>
  <si>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</si>
  <si>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</si>
  <si>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</si>
  <si>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</si>
  <si>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</si>
  <si>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</si>
  <si>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</si>
  <si>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</si>
  <si>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</si>
  <si>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</si>
  <si>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</si>
  <si>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</si>
  <si>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</si>
  <si>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</si>
  <si>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</si>
  <si>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</si>
  <si>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</si>
  <si>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</si>
  <si>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</si>
  <si>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</si>
  <si>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</si>
  <si>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</si>
  <si>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</si>
  <si>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</si>
  <si>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</si>
  <si>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</si>
  <si>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</si>
  <si>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</si>
  <si>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</si>
  <si>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</si>
  <si>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</si>
  <si>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</si>
  <si>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</si>
  <si>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</si>
  <si>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</si>
  <si>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</si>
  <si>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</si>
  <si>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</si>
  <si>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</si>
  <si>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</si>
  <si>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</si>
  <si>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</si>
  <si>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</si>
  <si>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</si>
  <si>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</si>
  <si>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</si>
  <si>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</si>
  <si>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</si>
  <si>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</si>
  <si>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</si>
  <si>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</si>
  <si>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</si>
  <si>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</si>
  <si>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</si>
  <si>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</si>
  <si>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</si>
  <si>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</si>
  <si>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</si>
  <si>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</si>
  <si>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</si>
  <si>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</si>
  <si>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</si>
  <si>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</si>
  <si>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</si>
  <si>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</si>
  <si>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</si>
  <si>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</si>
  <si>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</si>
  <si>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</si>
  <si>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</si>
  <si>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</si>
  <si>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</si>
  <si>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</si>
  <si>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</si>
  <si>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</si>
  <si>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</si>
  <si>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</si>
  <si>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</si>
  <si>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</si>
  <si>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</si>
  <si>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</si>
  <si>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</si>
  <si>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</si>
  <si>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</si>
  <si>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</si>
  <si>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</si>
  <si>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</si>
  <si>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</si>
  <si>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</si>
  <si>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</si>
  <si>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</si>
  <si>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</si>
  <si>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</si>
  <si>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</si>
  <si>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</si>
  <si>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</si>
  <si>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</si>
  <si>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</si>
  <si>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</si>
  <si>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</si>
  <si>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</si>
  <si>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</si>
  <si>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</si>
  <si>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</si>
  <si>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</si>
  <si>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</si>
  <si>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</si>
  <si>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</si>
  <si>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</si>
  <si>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</si>
  <si>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</si>
  <si>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</si>
  <si>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</si>
  <si>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</si>
  <si>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</si>
  <si>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</si>
  <si>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</si>
  <si>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</si>
  <si>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</si>
  <si>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</si>
  <si>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</si>
  <si>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</si>
  <si>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</si>
  <si>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</si>
  <si>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</si>
  <si>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</si>
  <si>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</si>
  <si>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</si>
  <si>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</si>
  <si>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</si>
  <si>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</si>
  <si>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</si>
  <si>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</si>
  <si>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</si>
  <si>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</si>
  <si>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</si>
  <si>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</si>
  <si>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</si>
  <si>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</si>
  <si>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</si>
  <si>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</si>
  <si>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</si>
  <si>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</si>
  <si>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</si>
  <si>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</si>
  <si>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</si>
  <si>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</si>
  <si>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</si>
  <si>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</si>
  <si>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</si>
  <si>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</si>
  <si>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</si>
  <si>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</si>
  <si>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</si>
  <si>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</si>
  <si>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</si>
  <si>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</si>
  <si>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</si>
  <si>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</si>
  <si>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</si>
  <si>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</si>
  <si>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</si>
  <si>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</si>
  <si>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</si>
  <si>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</si>
  <si>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</si>
  <si>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</si>
  <si>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</si>
  <si>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</si>
  <si>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</si>
  <si>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</si>
  <si>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</si>
  <si>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</si>
  <si>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</si>
  <si>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</si>
  <si>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</si>
  <si>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</si>
  <si>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</si>
  <si>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</si>
  <si>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</si>
  <si>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</si>
  <si>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</si>
  <si>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</si>
  <si>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</si>
  <si>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</si>
  <si>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</si>
  <si>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</si>
  <si>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</si>
  <si>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</si>
  <si>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</si>
  <si>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</si>
  <si>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</si>
  <si>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</si>
  <si>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</si>
  <si>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</si>
  <si>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</si>
  <si>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</si>
  <si>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</si>
  <si>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</si>
  <si>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</si>
  <si>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</si>
  <si>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</si>
  <si>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</si>
  <si>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</si>
  <si>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</si>
  <si>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</si>
  <si>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</si>
  <si>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</si>
  <si>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</si>
  <si>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</si>
  <si>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</si>
  <si>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</si>
  <si>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</si>
  <si>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</si>
  <si>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</si>
  <si>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</si>
  <si>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</si>
  <si>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</si>
  <si>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</si>
  <si>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</si>
  <si>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</si>
  <si>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</si>
  <si>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</si>
  <si>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</si>
  <si>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</si>
  <si>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</si>
  <si>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</si>
  <si>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</si>
  <si>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</si>
  <si>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</si>
  <si>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</si>
  <si>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</si>
  <si>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</si>
  <si>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</si>
  <si>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</si>
  <si>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</si>
  <si>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</si>
  <si>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</si>
  <si>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</si>
  <si>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</si>
  <si>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</si>
  <si>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</si>
  <si>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</si>
  <si>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</si>
  <si>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</si>
  <si>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</si>
  <si>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</si>
  <si>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</si>
  <si>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</si>
  <si>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</si>
  <si>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</si>
  <si>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</si>
  <si>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</si>
  <si>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</si>
  <si>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</si>
  <si>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</si>
  <si>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</si>
  <si>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</si>
  <si>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</si>
  <si>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</si>
  <si>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</si>
  <si>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</si>
  <si>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</si>
  <si>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</si>
  <si>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</si>
  <si>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</si>
  <si>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</si>
  <si>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</si>
  <si>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</si>
  <si>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</si>
  <si>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</si>
  <si>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</si>
  <si>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</si>
  <si>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</si>
  <si>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</si>
  <si>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</si>
  <si>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</si>
  <si>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</si>
  <si>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</si>
  <si>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</si>
  <si>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</si>
  <si>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</si>
  <si>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</si>
  <si>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</si>
  <si>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</si>
  <si>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</si>
  <si>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</si>
  <si>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</si>
  <si>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</si>
  <si>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</si>
  <si>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</si>
  <si>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</si>
  <si>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</si>
  <si>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</si>
  <si>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</si>
  <si>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</si>
  <si>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</si>
  <si>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</si>
  <si>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</si>
  <si>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</si>
  <si>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</si>
  <si>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</si>
  <si>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</si>
  <si>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</si>
  <si>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</si>
  <si>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</si>
  <si>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</si>
  <si>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</si>
  <si>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</si>
  <si>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</si>
  <si>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</si>
  <si>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</si>
  <si>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</si>
  <si>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</si>
  <si>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</si>
  <si>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</si>
  <si>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</si>
  <si>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</si>
  <si>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</si>
  <si>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</si>
  <si>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</si>
  <si>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</si>
  <si>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</si>
  <si>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</si>
  <si>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</si>
  <si>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</si>
  <si>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</si>
  <si>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</si>
  <si>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</si>
  <si>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</si>
  <si>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</si>
  <si>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</si>
  <si>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</si>
  <si>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</si>
  <si>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</si>
  <si>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</si>
  <si>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</si>
  <si>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</si>
  <si>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</si>
  <si>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</si>
  <si>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</si>
  <si>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</si>
  <si>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</si>
  <si>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</si>
  <si>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</si>
  <si>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</si>
  <si>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</si>
  <si>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</si>
  <si>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</si>
  <si>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</si>
  <si>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</si>
  <si>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</si>
  <si>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</si>
  <si>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</si>
  <si>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</si>
  <si>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</si>
  <si>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</si>
  <si>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</si>
  <si>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</si>
  <si>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</si>
  <si>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</si>
  <si>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</si>
  <si>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</si>
  <si>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</si>
  <si>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</si>
  <si>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</si>
  <si>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</si>
  <si>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</si>
  <si>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</si>
  <si>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</si>
  <si>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</si>
  <si>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</si>
  <si>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</si>
  <si>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</si>
  <si>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</si>
  <si>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</si>
  <si>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</si>
  <si>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</si>
  <si>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</si>
  <si>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</si>
  <si>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</si>
  <si>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</si>
  <si>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</si>
  <si>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</si>
  <si>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</si>
  <si>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</si>
  <si>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</si>
  <si>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</si>
  <si>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</si>
  <si>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</si>
  <si>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</si>
  <si>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</si>
  <si>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</si>
  <si>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</si>
  <si>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</si>
  <si>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</si>
  <si>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</si>
  <si>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</si>
  <si>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</si>
  <si>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</si>
  <si>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</si>
  <si>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</si>
  <si>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</si>
  <si>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</si>
  <si>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</si>
  <si>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</si>
  <si>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</si>
  <si>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</si>
  <si>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</si>
  <si>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</si>
  <si>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</si>
  <si>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</si>
  <si>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</si>
  <si>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</si>
  <si>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</si>
  <si>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</si>
  <si>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</si>
  <si>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</si>
  <si>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</si>
  <si>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</si>
  <si>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</si>
  <si>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</si>
  <si>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</si>
  <si>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</si>
  <si>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</si>
  <si>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</si>
  <si>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</si>
  <si>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</si>
  <si>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</si>
  <si>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</si>
  <si>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</si>
  <si>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</si>
  <si>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</si>
  <si>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</si>
  <si>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</si>
  <si>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</si>
  <si>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</si>
  <si>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</si>
  <si>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</si>
  <si>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</si>
  <si>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</si>
  <si>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</si>
  <si>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</si>
  <si>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</si>
  <si>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</si>
  <si>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</si>
  <si>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</si>
  <si>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</si>
  <si>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</si>
  <si>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</si>
  <si>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</si>
  <si>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</si>
  <si>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</si>
  <si>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</si>
  <si>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</si>
  <si>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</si>
  <si>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</si>
  <si>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</si>
  <si>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</si>
  <si>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</si>
  <si>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</si>
  <si>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</si>
  <si>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</si>
  <si>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</si>
  <si>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</si>
  <si>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</si>
  <si>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</si>
  <si>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</si>
  <si>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</si>
  <si>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</si>
  <si>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</si>
  <si>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</si>
  <si>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</si>
  <si>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</si>
  <si>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</si>
  <si>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</si>
  <si>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</si>
  <si>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</si>
  <si>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</si>
  <si>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</si>
  <si>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</si>
  <si>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</si>
  <si>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</si>
  <si>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</si>
  <si>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</si>
  <si>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</si>
  <si>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</si>
  <si>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</si>
  <si>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</si>
  <si>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</si>
  <si>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</si>
  <si>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</si>
  <si>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</si>
  <si>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</si>
  <si>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</si>
  <si>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</si>
  <si>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</si>
  <si>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</si>
  <si>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</si>
  <si>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</si>
  <si>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</si>
  <si>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</si>
  <si>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</si>
  <si>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</si>
  <si>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</si>
  <si>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</si>
  <si>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</si>
  <si>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</si>
  <si>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</si>
  <si>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</si>
  <si>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</si>
  <si>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</si>
  <si>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</si>
  <si>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</si>
  <si>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</si>
  <si>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</si>
  <si>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</si>
  <si>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</si>
  <si>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</si>
  <si>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</si>
  <si>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</si>
  <si>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</si>
  <si>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</si>
  <si>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</si>
  <si>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</si>
  <si>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</si>
  <si>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</si>
  <si>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</si>
  <si>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</si>
  <si>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</si>
  <si>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</si>
  <si>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</si>
  <si>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</si>
  <si>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</si>
  <si>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</si>
  <si>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</si>
  <si>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</si>
  <si>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</si>
  <si>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</si>
  <si>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</si>
  <si>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</si>
  <si>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</si>
  <si>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</si>
  <si>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</si>
  <si>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</si>
  <si>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</si>
  <si>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</si>
  <si>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</si>
  <si>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</si>
  <si>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</si>
  <si>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</si>
  <si>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</si>
  <si>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</si>
  <si>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</si>
  <si>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</si>
  <si>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</si>
  <si>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</si>
  <si>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</si>
  <si>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</si>
  <si>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</si>
  <si>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</si>
  <si>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</si>
  <si>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</si>
  <si>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</si>
  <si>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</si>
  <si>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</si>
  <si>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</si>
  <si>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</si>
  <si>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</si>
  <si>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</si>
  <si>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</si>
  <si>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</si>
  <si>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</si>
  <si>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</si>
  <si>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</si>
  <si>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</si>
  <si>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</si>
  <si>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</si>
  <si>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</si>
  <si>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</si>
  <si>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</si>
  <si>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</si>
  <si>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</si>
  <si>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</si>
  <si>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</si>
  <si>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</si>
  <si>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</si>
  <si>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</si>
  <si>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</si>
  <si>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</si>
  <si>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</si>
  <si>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</si>
  <si>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</si>
  <si>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</si>
  <si>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</si>
  <si>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</si>
  <si>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</si>
  <si>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</si>
  <si>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</si>
  <si>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</si>
  <si>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</si>
  <si>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</si>
  <si>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</si>
  <si>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</si>
  <si>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</si>
  <si>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</si>
  <si>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</si>
  <si>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</si>
  <si>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</si>
  <si>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</si>
  <si>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</si>
  <si>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</si>
  <si>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</si>
  <si>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</si>
  <si>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</si>
  <si>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</si>
  <si>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</si>
  <si>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</si>
  <si>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</si>
  <si>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</si>
  <si>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</si>
  <si>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</si>
  <si>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</si>
  <si>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</si>
  <si>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</si>
  <si>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</si>
  <si>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</si>
  <si>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</si>
  <si>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</si>
  <si>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</si>
  <si>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</si>
  <si>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</si>
  <si>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</si>
  <si>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</si>
  <si>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</si>
  <si>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</si>
  <si>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</si>
  <si>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</si>
  <si>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</si>
  <si>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</si>
  <si>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</si>
  <si>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</si>
  <si>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</si>
  <si>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</si>
  <si>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</si>
  <si>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</si>
  <si>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</si>
  <si>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</si>
  <si>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</si>
  <si>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</si>
  <si>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</si>
  <si>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</si>
  <si>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</si>
  <si>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</si>
  <si>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</si>
  <si>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</si>
  <si>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</si>
  <si>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</si>
  <si>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</si>
  <si>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</si>
  <si>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</si>
  <si>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</si>
  <si>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</si>
  <si>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</si>
  <si>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</si>
  <si>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</si>
  <si>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</si>
  <si>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</si>
  <si>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</si>
  <si>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</si>
  <si>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</si>
  <si>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</si>
  <si>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</si>
  <si>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</si>
  <si>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</si>
  <si>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</si>
  <si>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</si>
  <si>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</si>
  <si>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</si>
  <si>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</si>
  <si>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</si>
  <si>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</si>
  <si>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</si>
  <si>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</si>
  <si>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</si>
  <si>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</si>
  <si>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</si>
  <si>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</si>
  <si>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</si>
  <si>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</si>
  <si>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</si>
  <si>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</si>
  <si>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</si>
  <si>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</si>
  <si>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</si>
  <si>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</si>
  <si>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</si>
  <si>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</si>
  <si>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</si>
  <si>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</si>
  <si>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</si>
  <si>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</si>
  <si>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</si>
  <si>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</si>
  <si>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</si>
  <si>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</si>
  <si>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</si>
  <si>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</si>
  <si>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</si>
  <si>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</si>
  <si>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</si>
  <si>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</si>
  <si>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</si>
  <si>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</si>
  <si>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</si>
  <si>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</si>
  <si>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</si>
  <si>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</si>
  <si>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</si>
  <si>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</si>
  <si>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</si>
  <si>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</si>
  <si>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</si>
  <si>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</si>
  <si>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</si>
  <si>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</si>
  <si>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</si>
  <si>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</si>
  <si>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</si>
  <si>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</si>
  <si>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</si>
  <si>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</si>
  <si>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</si>
  <si>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</si>
  <si>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</si>
  <si>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</si>
  <si>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</si>
  <si>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</si>
  <si>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</si>
  <si>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</si>
  <si>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</si>
  <si>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</si>
  <si>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</si>
  <si>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</si>
  <si>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</si>
  <si>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</si>
  <si>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</si>
  <si>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</si>
  <si>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</si>
  <si>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</si>
  <si>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</si>
  <si>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</si>
  <si>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</si>
  <si>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</si>
  <si>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</si>
  <si>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</si>
  <si>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</si>
  <si>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</si>
  <si>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</si>
  <si>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</si>
  <si>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</si>
  <si>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</si>
  <si>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</si>
  <si>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</si>
  <si>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</si>
  <si>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</si>
  <si>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</si>
  <si>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</si>
  <si>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</si>
  <si>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</si>
  <si>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</si>
  <si>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</si>
  <si>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</si>
  <si>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</si>
  <si>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</si>
  <si>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</si>
  <si>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</si>
  <si>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</si>
  <si>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</si>
  <si>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</si>
  <si>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</si>
  <si>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</si>
  <si>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</si>
  <si>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</si>
  <si>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</si>
  <si>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</si>
  <si>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</si>
  <si>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</si>
  <si>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</si>
  <si>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</si>
  <si>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</si>
  <si>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</si>
  <si>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</si>
  <si>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</si>
  <si>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</si>
  <si>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</si>
  <si>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</si>
  <si>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</si>
  <si>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</si>
  <si>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</si>
  <si>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</si>
  <si>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</si>
  <si>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</si>
  <si>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</si>
  <si>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</si>
  <si>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</si>
  <si>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</si>
  <si>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</si>
  <si>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</si>
  <si>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</si>
  <si>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</si>
  <si>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</si>
  <si>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</si>
  <si>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</si>
  <si>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</si>
  <si>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</si>
  <si>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</si>
  <si>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</si>
  <si>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</si>
  <si>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</si>
  <si>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</si>
  <si>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</si>
  <si>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</si>
  <si>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</si>
  <si>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</si>
  <si>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</si>
  <si>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</si>
  <si>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</si>
  <si>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</si>
  <si>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</si>
  <si>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</si>
  <si>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</si>
  <si>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</si>
  <si>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</si>
  <si>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</si>
  <si>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</si>
  <si>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</si>
  <si>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</si>
  <si>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</si>
  <si>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</si>
  <si>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</si>
  <si>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</si>
  <si>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</si>
  <si>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</si>
  <si>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</si>
  <si>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</si>
  <si>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</si>
  <si>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</si>
  <si>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</si>
  <si>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</si>
  <si>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</si>
  <si>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</si>
  <si>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</si>
  <si>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</si>
  <si>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</si>
  <si>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</si>
  <si>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</si>
  <si>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</si>
  <si>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</si>
  <si>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</si>
  <si>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</si>
  <si>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</si>
  <si>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</si>
  <si>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</si>
  <si>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</si>
  <si>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</si>
  <si>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</si>
  <si>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</si>
  <si>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</si>
  <si>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</si>
  <si>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</si>
  <si>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</si>
  <si>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</si>
  <si>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</si>
  <si>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</si>
  <si>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</si>
  <si>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</si>
  <si>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</si>
  <si>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</si>
  <si>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</si>
  <si>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</si>
  <si>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</si>
  <si>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</si>
  <si>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</si>
  <si>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</si>
  <si>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</si>
  <si>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</si>
  <si>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</si>
  <si>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</si>
  <si>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</si>
  <si>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</si>
  <si>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</si>
  <si>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</si>
  <si>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</si>
  <si>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</si>
  <si>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</si>
  <si>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</si>
  <si>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</si>
  <si>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</si>
  <si>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</si>
  <si>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</si>
  <si>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</si>
  <si>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</si>
  <si>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</si>
  <si>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</si>
  <si>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</si>
  <si>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</si>
  <si>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</si>
  <si>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</si>
  <si>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</si>
  <si>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</si>
  <si>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</si>
  <si>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</si>
  <si>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</si>
  <si>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</si>
  <si>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</si>
  <si>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</si>
  <si>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</si>
  <si>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</si>
  <si>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</si>
  <si>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</si>
  <si>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</si>
  <si>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</si>
  <si>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</si>
  <si>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</si>
  <si>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</si>
  <si>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</si>
  <si>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</si>
  <si>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</si>
  <si>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</si>
  <si>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</si>
  <si>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</si>
  <si>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</si>
  <si>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</si>
  <si>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</si>
  <si>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</si>
  <si>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</si>
  <si>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</si>
  <si>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</si>
  <si>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</si>
  <si>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</si>
  <si>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</si>
  <si>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</si>
  <si>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</si>
  <si>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</si>
  <si>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</si>
  <si>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</si>
  <si>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</si>
  <si>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</si>
  <si>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</si>
  <si>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</si>
  <si>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</si>
  <si>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</si>
  <si>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</si>
  <si>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</si>
  <si>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</si>
  <si>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</si>
  <si>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</si>
  <si>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</si>
  <si>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</si>
  <si>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</si>
  <si>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</si>
  <si>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</si>
  <si>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</si>
  <si>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</si>
  <si>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</si>
  <si>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</si>
  <si>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</si>
  <si>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</si>
  <si>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</si>
  <si>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</si>
  <si>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</si>
  <si>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</si>
  <si>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</si>
  <si>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</si>
  <si>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</si>
  <si>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</si>
  <si>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</si>
  <si>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</si>
  <si>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</si>
  <si>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</si>
  <si>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</si>
  <si>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</si>
  <si>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</si>
  <si>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</si>
  <si>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</si>
  <si>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</si>
  <si>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</si>
  <si>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</si>
  <si>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</si>
  <si>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</si>
  <si>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</si>
  <si>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</si>
  <si>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</si>
  <si>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</si>
  <si>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</si>
  <si>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</si>
  <si>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</si>
  <si>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</si>
  <si>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</si>
  <si>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</si>
  <si>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</si>
  <si>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</si>
  <si>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</si>
  <si>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</si>
  <si>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</si>
  <si>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</si>
  <si>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</si>
  <si>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</si>
  <si>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</si>
  <si>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</si>
  <si>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</si>
  <si>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</si>
  <si>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</si>
  <si>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</si>
  <si>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</si>
  <si>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</si>
  <si>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</si>
  <si>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</si>
  <si>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</si>
  <si>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</si>
  <si>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</si>
  <si>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</si>
  <si>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</si>
  <si>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</si>
  <si>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</si>
  <si>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</si>
  <si>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</si>
  <si>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</si>
  <si>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</si>
  <si>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</si>
  <si>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</si>
  <si>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</si>
  <si>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</si>
  <si>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</si>
  <si>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</si>
  <si>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</si>
  <si>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</si>
  <si>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</si>
  <si>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</si>
  <si>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</si>
  <si>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</si>
  <si>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</si>
  <si>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</si>
  <si>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</si>
  <si>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</si>
  <si>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</si>
  <si>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</si>
  <si>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</si>
  <si>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</si>
  <si>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</si>
  <si>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</si>
  <si>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</si>
  <si>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</si>
  <si>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</si>
  <si>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</si>
  <si>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</si>
  <si>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</si>
  <si>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</si>
  <si>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</si>
  <si>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</si>
  <si>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</si>
  <si>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</si>
  <si>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</si>
  <si>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</si>
  <si>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</si>
  <si>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</si>
  <si>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</si>
  <si>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</si>
  <si>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</si>
  <si>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</si>
  <si>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</si>
  <si>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</si>
  <si>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</si>
  <si>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</si>
  <si>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</si>
  <si>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</si>
  <si>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</si>
  <si>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</si>
  <si>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</si>
  <si>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</si>
  <si>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</si>
  <si>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</si>
  <si>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</si>
  <si>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</si>
  <si>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</si>
  <si>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</si>
  <si>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</si>
  <si>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</si>
  <si>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</si>
  <si>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</si>
  <si>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</si>
  <si>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</si>
  <si>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</si>
  <si>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</si>
  <si>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</si>
  <si>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</si>
  <si>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</si>
  <si>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</si>
  <si>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</si>
  <si>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</si>
  <si>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</si>
  <si>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</si>
  <si>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</si>
  <si>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</si>
  <si>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</si>
  <si>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</si>
  <si>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</si>
  <si>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</si>
  <si>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</si>
  <si>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</si>
  <si>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</si>
  <si>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</si>
  <si>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</si>
  <si>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</si>
  <si>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</si>
  <si>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</si>
  <si>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</si>
  <si>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</si>
  <si>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</si>
  <si>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</si>
  <si>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</si>
  <si>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</si>
  <si>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</si>
  <si>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</si>
  <si>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</si>
  <si>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</si>
  <si>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</si>
  <si>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</si>
  <si>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</si>
  <si>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</si>
  <si>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</si>
  <si>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</si>
  <si>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</si>
  <si>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</si>
  <si>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</si>
  <si>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</si>
  <si>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</si>
  <si>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</si>
  <si>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</si>
  <si>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</si>
  <si>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</si>
  <si>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</si>
  <si>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</si>
  <si>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</si>
  <si>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</si>
  <si>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</si>
  <si>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</si>
  <si>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</si>
  <si>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</si>
  <si>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</si>
  <si>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</si>
  <si>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</si>
  <si>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</si>
  <si>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</si>
  <si>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</si>
  <si>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</si>
  <si>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</si>
  <si>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</si>
  <si>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</si>
  <si>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</si>
  <si>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</si>
  <si>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</si>
  <si>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</si>
  <si>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</si>
  <si>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</si>
  <si>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</si>
  <si>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</si>
  <si>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</si>
  <si>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</si>
  <si>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</si>
  <si>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</si>
  <si>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</si>
  <si>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</si>
  <si>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</si>
  <si>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</si>
  <si>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</si>
  <si>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</si>
  <si>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</si>
  <si>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</si>
  <si>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</si>
  <si>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</si>
  <si>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</si>
  <si>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</si>
  <si>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</si>
  <si>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</si>
  <si>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</si>
  <si>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</si>
  <si>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</si>
  <si>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</si>
  <si>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</si>
  <si>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</si>
  <si>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</si>
  <si>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</si>
  <si>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</si>
  <si>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</si>
  <si>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</si>
  <si>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</si>
  <si>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</si>
  <si>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</si>
  <si>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</si>
  <si>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</si>
  <si>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</si>
  <si>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</si>
  <si>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</si>
  <si>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</si>
  <si>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</si>
  <si>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</si>
  <si>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</si>
  <si>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</si>
  <si>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</si>
  <si>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</si>
  <si>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</si>
  <si>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</si>
  <si>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</si>
  <si>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</si>
  <si>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</si>
  <si>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</si>
  <si>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</si>
  <si>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</si>
  <si>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</si>
  <si>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</si>
  <si>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</si>
  <si>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</si>
  <si>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</si>
  <si>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</si>
  <si>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</si>
  <si>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</si>
  <si>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</si>
  <si>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</si>
  <si>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</si>
  <si>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</si>
  <si>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</si>
  <si>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</si>
  <si>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</si>
  <si>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</si>
  <si>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</si>
  <si>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</si>
  <si>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</si>
  <si>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</si>
  <si>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</si>
  <si>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</si>
  <si>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</si>
  <si>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</si>
  <si>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</si>
  <si>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</si>
  <si>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</si>
  <si>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</si>
  <si>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</si>
  <si>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</si>
  <si>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</si>
  <si>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</si>
  <si>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</si>
  <si>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</si>
  <si>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</si>
  <si>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</si>
  <si>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</si>
  <si>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</si>
  <si>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</si>
  <si>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</si>
  <si>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</si>
  <si>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</si>
  <si>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</si>
  <si>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</si>
  <si>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</si>
  <si>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</si>
  <si>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</si>
  <si>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</si>
  <si>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</si>
  <si>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</si>
  <si>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</si>
  <si>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</si>
  <si>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</si>
  <si>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</si>
  <si>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</si>
  <si>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</si>
  <si>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</si>
  <si>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</si>
  <si>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</si>
  <si>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</si>
  <si>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</si>
  <si>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</si>
  <si>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</si>
  <si>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</si>
  <si>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</si>
  <si>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</si>
  <si>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</si>
  <si>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</si>
  <si>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</si>
  <si>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</si>
  <si>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</si>
  <si>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</si>
  <si>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</si>
  <si>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</si>
  <si>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</si>
  <si>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</si>
  <si>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</si>
  <si>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</si>
  <si>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</si>
  <si>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</si>
  <si>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</si>
  <si>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</si>
  <si>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</si>
  <si>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</si>
  <si>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</si>
  <si>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</si>
  <si>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</si>
  <si>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</si>
  <si>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</si>
  <si>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</si>
  <si>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</si>
  <si>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</si>
  <si>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</si>
  <si>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</si>
  <si>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</si>
  <si>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</si>
  <si>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</si>
  <si>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</si>
  <si>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</si>
  <si>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</si>
  <si>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</si>
  <si>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</si>
  <si>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</si>
  <si>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</si>
  <si>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</si>
  <si>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</si>
  <si>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</si>
  <si>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</si>
  <si>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</si>
  <si>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</si>
  <si>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</si>
  <si>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</si>
  <si>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</si>
  <si>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</si>
  <si>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</si>
  <si>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</si>
  <si>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</si>
  <si>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</si>
  <si>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</si>
  <si>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</si>
  <si>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</si>
  <si>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</si>
  <si>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</si>
  <si>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</si>
  <si>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</si>
  <si>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</si>
  <si>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</si>
  <si>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</si>
  <si>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</si>
  <si>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</si>
  <si>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</si>
  <si>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</si>
  <si>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</si>
  <si>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</si>
  <si>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</si>
  <si>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</si>
  <si>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</si>
  <si>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</si>
  <si>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</si>
  <si>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</si>
  <si>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</si>
  <si>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</si>
  <si>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</si>
  <si>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</si>
  <si>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</si>
  <si>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</si>
  <si>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</si>
  <si>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</si>
  <si>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</si>
  <si>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</si>
  <si>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</si>
  <si>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</si>
  <si>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</si>
  <si>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</si>
  <si>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</si>
  <si>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</si>
  <si>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</si>
  <si>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</si>
  <si>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</si>
  <si>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</si>
  <si>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</si>
  <si>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</si>
  <si>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</si>
  <si>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</si>
  <si>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</si>
  <si>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</si>
  <si>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</si>
  <si>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</si>
  <si>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</si>
  <si>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</si>
  <si>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</si>
  <si>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</si>
  <si>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</si>
  <si>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</si>
  <si>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</si>
  <si>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</si>
  <si>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</si>
  <si>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</si>
  <si>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</si>
  <si>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</si>
  <si>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</si>
  <si>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</si>
  <si>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</si>
  <si>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</si>
  <si>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</si>
  <si>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</si>
  <si>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</si>
  <si>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</si>
  <si>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</si>
  <si>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</si>
  <si>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</si>
  <si>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</si>
  <si>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</si>
  <si>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</si>
  <si>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</si>
  <si>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</si>
  <si>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</si>
  <si>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</si>
  <si>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</si>
  <si>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</si>
  <si>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</si>
  <si>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</si>
  <si>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</si>
  <si>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</si>
  <si>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</si>
  <si>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</si>
  <si>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</si>
  <si>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</si>
  <si>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</si>
  <si>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</si>
  <si>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</si>
  <si>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</si>
  <si>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</si>
  <si>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</si>
  <si>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</si>
  <si>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</si>
  <si>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</si>
  <si>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</si>
  <si>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</si>
  <si>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</si>
  <si>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</si>
  <si>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</si>
  <si>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</si>
  <si>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</si>
  <si>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</si>
  <si>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</si>
  <si>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</si>
  <si>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</si>
  <si>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</si>
  <si>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</si>
  <si>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</si>
  <si>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</si>
  <si>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</si>
  <si>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</si>
  <si>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</si>
  <si>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</si>
  <si>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</si>
  <si>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</si>
  <si>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</si>
  <si>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</si>
  <si>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</si>
  <si>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</si>
  <si>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</si>
  <si>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</si>
  <si>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</si>
  <si>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</si>
  <si>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</si>
  <si>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</si>
  <si>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</si>
  <si>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</si>
  <si>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</si>
  <si>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</si>
  <si>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</si>
  <si>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</si>
  <si>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</si>
  <si>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</si>
  <si>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</si>
  <si>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</si>
  <si>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</si>
  <si>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</si>
  <si>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</si>
  <si>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</si>
  <si>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</si>
  <si>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</si>
  <si>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</si>
  <si>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</si>
  <si>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</si>
  <si>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</si>
  <si>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</si>
  <si>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</si>
  <si>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</si>
  <si>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</si>
  <si>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</si>
  <si>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</si>
  <si>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</si>
  <si>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</si>
  <si>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</si>
  <si>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</si>
  <si>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</si>
  <si>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</si>
  <si>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</si>
  <si>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</si>
  <si>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</si>
  <si>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</si>
  <si>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</si>
  <si>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</si>
  <si>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</si>
  <si>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</si>
  <si>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</si>
  <si>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</si>
  <si>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</si>
  <si>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</si>
  <si>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</si>
  <si>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</si>
  <si>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</si>
  <si>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</si>
  <si>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</si>
  <si>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</si>
  <si>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</si>
  <si>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</si>
  <si>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</si>
  <si>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</si>
  <si>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</si>
  <si>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</si>
  <si>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</si>
  <si>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</si>
  <si>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</si>
  <si>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</si>
  <si>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</si>
  <si>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</si>
  <si>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</si>
  <si>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</si>
  <si>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</si>
  <si>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</si>
  <si>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</si>
  <si>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</si>
  <si>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</si>
  <si>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</si>
  <si>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</si>
  <si>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</si>
  <si>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</si>
  <si>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</si>
  <si>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</si>
  <si>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</si>
  <si>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</si>
  <si>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</si>
  <si>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</si>
  <si>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</si>
  <si>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</si>
  <si>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</si>
  <si>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</si>
  <si>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</si>
  <si>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</si>
  <si>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</si>
  <si>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</si>
  <si>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</si>
  <si>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</si>
  <si>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</si>
  <si>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</si>
  <si>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</si>
  <si>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</si>
  <si>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</si>
  <si>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</si>
  <si>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</si>
  <si>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</si>
  <si>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</si>
  <si>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</si>
  <si>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</si>
  <si>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</si>
  <si>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</si>
  <si>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</si>
  <si>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</si>
  <si>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</si>
  <si>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</si>
  <si>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</si>
  <si>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</si>
  <si>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</si>
  <si>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</si>
  <si>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</si>
  <si>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</si>
  <si>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</si>
  <si>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</si>
  <si>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</si>
  <si>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</si>
  <si>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</si>
  <si>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</si>
  <si>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</si>
  <si>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</si>
  <si>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</si>
  <si>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</si>
  <si>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</si>
  <si>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</si>
  <si>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</si>
  <si>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</si>
  <si>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</si>
  <si>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</si>
  <si>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</si>
  <si>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</si>
  <si>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</si>
  <si>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</si>
  <si>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</si>
  <si>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</si>
  <si>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</si>
  <si>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</si>
  <si>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</si>
  <si>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</si>
  <si>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</si>
  <si>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</si>
  <si>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</si>
  <si>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</si>
  <si>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</si>
  <si>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</si>
  <si>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</si>
  <si>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</si>
  <si>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</si>
  <si>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</si>
  <si>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</si>
  <si>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</si>
  <si>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</si>
  <si>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</si>
  <si>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</si>
  <si>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</si>
  <si>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</si>
  <si>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</si>
  <si>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</si>
  <si>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</si>
  <si>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</si>
  <si>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</si>
  <si>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</si>
  <si>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</si>
  <si>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</si>
  <si>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</si>
  <si>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</si>
  <si>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</si>
  <si>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</si>
  <si>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</si>
  <si>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</si>
  <si>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</si>
  <si>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</si>
  <si>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</si>
  <si>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</si>
  <si>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</si>
  <si>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</si>
  <si>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</si>
  <si>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</si>
  <si>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</si>
  <si>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</si>
  <si>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</si>
  <si>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</si>
  <si>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</si>
  <si>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</si>
  <si>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</si>
  <si>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</si>
  <si>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</si>
  <si>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</si>
  <si>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</si>
  <si>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</si>
  <si>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</si>
  <si>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</si>
  <si>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</si>
  <si>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</si>
  <si>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</si>
  <si>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</si>
  <si>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</si>
  <si>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</si>
  <si>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</si>
  <si>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</si>
  <si>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</si>
  <si>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</si>
  <si>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</si>
  <si>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</si>
  <si>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</si>
  <si>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</si>
  <si>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</si>
  <si>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</si>
  <si>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</si>
  <si>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</si>
  <si>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</si>
  <si>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</si>
  <si>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</si>
  <si>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</si>
  <si>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</si>
  <si>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</si>
  <si>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</si>
  <si>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</si>
  <si>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</si>
  <si>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</si>
  <si>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</si>
  <si>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</si>
  <si>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</si>
  <si>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</si>
  <si>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</si>
  <si>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</si>
  <si>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</si>
  <si>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</si>
  <si>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</si>
  <si>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</si>
  <si>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</si>
  <si>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</si>
  <si>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</si>
  <si>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</si>
  <si>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</si>
  <si>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</si>
  <si>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</si>
  <si>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</si>
  <si>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</si>
  <si>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</si>
  <si>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</si>
  <si>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</si>
  <si>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</si>
  <si>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</si>
  <si>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</si>
  <si>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</si>
  <si>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</si>
  <si>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</si>
  <si>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</si>
  <si>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</si>
  <si>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</si>
  <si>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</si>
  <si>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</si>
  <si>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</si>
  <si>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</si>
  <si>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</si>
  <si>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</si>
  <si>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</si>
  <si>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</si>
  <si>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</si>
  <si>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</si>
  <si>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</si>
  <si>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</si>
  <si>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</si>
  <si>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</si>
  <si>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</si>
  <si>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</si>
  <si>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</si>
  <si>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</si>
  <si>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</si>
  <si>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</si>
  <si>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</si>
  <si>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</si>
  <si>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</si>
  <si>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</si>
  <si>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</si>
  <si>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</si>
  <si>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</si>
  <si>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</si>
  <si>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</si>
  <si>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</si>
  <si>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</si>
  <si>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</si>
  <si>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</si>
  <si>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</si>
  <si>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</si>
  <si>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</si>
  <si>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</si>
  <si>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</si>
  <si>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</si>
  <si>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</si>
  <si>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</si>
  <si>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</si>
  <si>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</si>
  <si>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</si>
  <si>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</si>
  <si>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</si>
  <si>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</si>
  <si>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</si>
  <si>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</si>
  <si>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</si>
  <si>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</si>
  <si>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</si>
  <si>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</si>
  <si>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</si>
  <si>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</si>
  <si>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</si>
  <si>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</si>
  <si>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</si>
  <si>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</si>
  <si>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</si>
  <si>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</si>
  <si>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</si>
  <si>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</si>
  <si>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</si>
  <si>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</si>
  <si>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</si>
  <si>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</si>
  <si>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</si>
  <si>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</si>
  <si>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</si>
  <si>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</si>
  <si>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</si>
  <si>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</si>
  <si>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</si>
  <si>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</si>
  <si>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</si>
  <si>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</si>
  <si>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</si>
  <si>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</si>
  <si>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</si>
  <si>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</si>
  <si>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</si>
  <si>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</si>
  <si>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</si>
  <si>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</si>
  <si>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</si>
  <si>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</si>
  <si>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</si>
  <si>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</si>
  <si>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</si>
  <si>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</si>
  <si>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</si>
  <si>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</si>
  <si>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</si>
  <si>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</si>
  <si>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</si>
  <si>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</si>
  <si>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</si>
  <si>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</si>
  <si>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</si>
  <si>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</si>
  <si>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</si>
  <si>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</si>
  <si>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</si>
  <si>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</si>
  <si>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</si>
  <si>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</si>
  <si>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</si>
  <si>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</si>
  <si>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</si>
  <si>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</si>
  <si>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</si>
  <si>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</si>
  <si>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</si>
  <si>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</si>
  <si>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</si>
  <si>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</si>
  <si>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</si>
  <si>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</si>
  <si>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</si>
  <si>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</si>
  <si>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</si>
  <si>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</si>
  <si>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</si>
  <si>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</si>
  <si>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</si>
  <si>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</si>
  <si>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</si>
  <si>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</si>
  <si>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</si>
  <si>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</si>
  <si>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</si>
  <si>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</si>
  <si>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</si>
  <si>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</si>
  <si>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</si>
  <si>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</si>
  <si>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</si>
  <si>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</si>
  <si>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</si>
  <si>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</si>
  <si>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</si>
  <si>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</si>
  <si>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</si>
  <si>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</si>
  <si>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</si>
  <si>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</si>
  <si>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</si>
  <si>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</si>
  <si>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</si>
  <si>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</si>
  <si>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</si>
  <si>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</si>
  <si>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</si>
  <si>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</si>
  <si>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</si>
  <si>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</si>
  <si>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</si>
  <si>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</si>
  <si>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</si>
  <si>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</si>
  <si>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</si>
  <si>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</si>
  <si>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</si>
  <si>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</si>
  <si>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</si>
  <si>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</si>
  <si>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</si>
  <si>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</si>
  <si>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</si>
  <si>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</si>
  <si>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</si>
  <si>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</si>
  <si>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</si>
  <si>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</si>
  <si>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</si>
  <si>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</si>
  <si>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</si>
  <si>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</si>
  <si>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</si>
  <si>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</si>
  <si>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</si>
  <si>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</si>
  <si>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</si>
  <si>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</si>
  <si>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</si>
  <si>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</si>
  <si>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</si>
  <si>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</si>
  <si>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</si>
  <si>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</si>
  <si>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</si>
  <si>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</si>
  <si>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</si>
  <si>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</si>
  <si>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</si>
  <si>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</si>
  <si>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</si>
  <si>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</si>
  <si>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</si>
  <si>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</si>
  <si>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</si>
  <si>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</si>
  <si>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</si>
  <si>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</si>
  <si>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</si>
  <si>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</si>
  <si>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</si>
  <si>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</si>
  <si>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</si>
  <si>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</si>
  <si>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</si>
  <si>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</si>
  <si>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</si>
  <si>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</si>
  <si>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</si>
  <si>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</si>
  <si>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</si>
  <si>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</si>
  <si>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</si>
  <si>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</si>
  <si>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</si>
  <si>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</si>
  <si>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</si>
  <si>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</si>
  <si>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</si>
  <si>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</si>
  <si>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</si>
  <si>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</si>
  <si>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</si>
  <si>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</si>
  <si>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</si>
  <si>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</si>
  <si>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</si>
  <si>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</si>
  <si>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</si>
  <si>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</si>
  <si>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</si>
  <si>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</si>
  <si>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</si>
  <si>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</si>
  <si>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</si>
  <si>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</si>
  <si>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</si>
  <si>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</si>
  <si>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</si>
  <si>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</si>
  <si>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</si>
  <si>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</si>
  <si>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</si>
  <si>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</si>
  <si>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</si>
  <si>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</si>
  <si>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</si>
  <si>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</si>
  <si>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</si>
  <si>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</si>
  <si>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</si>
  <si>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</si>
  <si>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</si>
  <si>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</si>
  <si>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</si>
  <si>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</si>
  <si>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</si>
  <si>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</si>
  <si>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</si>
  <si>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</si>
  <si>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</si>
  <si>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</si>
  <si>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</si>
  <si>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</si>
  <si>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</si>
  <si>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</si>
  <si>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</si>
  <si>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</si>
  <si>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</si>
  <si>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</si>
  <si>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</si>
  <si>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</si>
  <si>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</si>
  <si>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</si>
  <si>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</si>
  <si>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</si>
  <si>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</si>
  <si>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</si>
  <si>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</si>
  <si>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</si>
  <si>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</si>
  <si>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</si>
  <si>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</si>
  <si>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</si>
  <si>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</si>
  <si>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</si>
  <si>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</si>
  <si>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</si>
  <si>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</si>
  <si>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</si>
  <si>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</si>
  <si>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</si>
  <si>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</si>
  <si>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</si>
  <si>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</si>
  <si>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</si>
  <si>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</si>
  <si>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</si>
  <si>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</si>
  <si>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</si>
  <si>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</si>
  <si>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</si>
  <si>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</si>
  <si>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</si>
  <si>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</si>
  <si>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</si>
  <si>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</si>
  <si>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</si>
  <si>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</si>
  <si>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</si>
  <si>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</si>
  <si>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</si>
  <si>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</si>
  <si>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</si>
  <si>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</si>
  <si>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</si>
  <si>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</si>
  <si>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</si>
  <si>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</si>
  <si>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</si>
  <si>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</si>
  <si>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</si>
  <si>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</si>
  <si>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</si>
  <si>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</si>
  <si>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</si>
  <si>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</si>
  <si>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</si>
  <si>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</si>
  <si>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</si>
  <si>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</si>
  <si>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</si>
  <si>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</si>
  <si>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</si>
  <si>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</si>
  <si>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</si>
  <si>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</si>
  <si>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</si>
  <si>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</si>
  <si>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</si>
  <si>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</si>
  <si>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</si>
  <si>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</si>
  <si>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</si>
  <si>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</si>
  <si>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</si>
  <si>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</si>
  <si>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</si>
  <si>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</si>
  <si>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</si>
  <si>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</si>
  <si>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</si>
  <si>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</si>
  <si>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</si>
  <si>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</si>
  <si>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</si>
  <si>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</si>
  <si>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</si>
  <si>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</si>
  <si>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</si>
  <si>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</si>
  <si>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</si>
  <si>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</si>
  <si>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</si>
  <si>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</si>
  <si>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</si>
  <si>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</si>
  <si>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</si>
  <si>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</si>
  <si>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</si>
  <si>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</si>
  <si>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</si>
  <si>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</si>
  <si>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</si>
  <si>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</si>
  <si>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</si>
  <si>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</si>
  <si>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</si>
  <si>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</si>
  <si>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</si>
  <si>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</si>
  <si>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</si>
  <si>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</si>
  <si>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</si>
  <si>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</si>
  <si>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</si>
  <si>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</si>
  <si>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</si>
  <si>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</si>
  <si>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</si>
  <si>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</si>
  <si>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</si>
  <si>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</si>
  <si>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</si>
  <si>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</si>
  <si>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</si>
  <si>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</si>
  <si>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</si>
  <si>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</si>
  <si>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</si>
  <si>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</si>
  <si>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</si>
  <si>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</si>
  <si>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</si>
  <si>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</si>
  <si>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</si>
  <si>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</si>
  <si>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</si>
  <si>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</si>
  <si>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</si>
  <si>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</si>
  <si>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</si>
  <si>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</si>
  <si>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</si>
  <si>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</si>
  <si>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</si>
  <si>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</si>
  <si>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</si>
  <si>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</si>
  <si>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</si>
  <si>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</si>
  <si>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</si>
  <si>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</si>
  <si>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</si>
  <si>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</si>
  <si>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</si>
  <si>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</si>
  <si>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</si>
  <si>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</si>
  <si>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</si>
  <si>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</si>
  <si>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</si>
  <si>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</si>
  <si>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</si>
  <si>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</si>
  <si>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</si>
  <si>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</si>
  <si>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</si>
  <si>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</si>
  <si>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</si>
  <si>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</si>
  <si>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</si>
  <si>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</si>
  <si>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</si>
  <si>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</si>
  <si>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</si>
  <si>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</si>
  <si>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</si>
  <si>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</si>
  <si>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</si>
  <si>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</si>
  <si>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</si>
  <si>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</si>
  <si>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</si>
  <si>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</si>
  <si>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</si>
  <si>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</si>
  <si>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</si>
  <si>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</si>
  <si>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</si>
  <si>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</si>
  <si>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</si>
  <si>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</si>
  <si>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</si>
  <si>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</si>
  <si>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</si>
  <si>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</si>
  <si>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</si>
  <si>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</si>
  <si>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</si>
  <si>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</si>
  <si>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</si>
  <si>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</si>
  <si>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</si>
  <si>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</si>
  <si>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</si>
  <si>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</si>
  <si>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</si>
  <si>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</si>
  <si>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</si>
  <si>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</si>
  <si>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</si>
  <si>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</si>
  <si>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</si>
  <si>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</si>
  <si>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</si>
  <si>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</si>
  <si>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</si>
  <si>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</si>
  <si>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</si>
  <si>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</si>
  <si>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</si>
  <si>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</si>
  <si>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</si>
  <si>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</si>
  <si>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</si>
  <si>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</si>
  <si>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</si>
  <si>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</si>
  <si>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</si>
  <si>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</si>
  <si>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</si>
  <si>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</si>
  <si>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</si>
  <si>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</si>
  <si>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</si>
  <si>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</si>
  <si>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</si>
  <si>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</si>
  <si>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</si>
  <si>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</si>
  <si>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</si>
  <si>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</si>
  <si>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</si>
  <si>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</si>
  <si>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</si>
  <si>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</si>
  <si>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</si>
  <si>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</si>
  <si>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</si>
  <si>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</si>
  <si>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</si>
  <si>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</si>
  <si>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</si>
  <si>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</si>
  <si>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</si>
  <si>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</si>
  <si>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</si>
  <si>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</si>
  <si>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</si>
  <si>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</si>
  <si>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</si>
  <si>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</si>
  <si>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</si>
  <si>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</si>
  <si>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</si>
  <si>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</si>
  <si>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</si>
  <si>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</si>
  <si>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</si>
  <si>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</si>
  <si>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</si>
  <si>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</si>
  <si>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</si>
  <si>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</si>
  <si>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</si>
  <si>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</si>
  <si>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</si>
  <si>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</si>
  <si>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</si>
  <si>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</si>
  <si>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</si>
  <si>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</si>
  <si>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</si>
  <si>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</si>
  <si>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</si>
  <si>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</si>
  <si>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</si>
  <si>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</si>
  <si>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</si>
  <si>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</si>
  <si>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</si>
  <si>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</si>
  <si>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</si>
  <si>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</si>
  <si>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</si>
  <si>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</si>
  <si>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</si>
  <si>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</si>
  <si>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</si>
  <si>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</si>
  <si>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</si>
  <si>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</si>
  <si>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</si>
  <si>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</si>
  <si>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</si>
  <si>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</si>
  <si>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</si>
  <si>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</si>
  <si>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</si>
  <si>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</si>
  <si>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</si>
  <si>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</si>
  <si>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</si>
  <si>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</si>
  <si>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</si>
  <si>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</si>
  <si>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</si>
  <si>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</si>
  <si>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</si>
  <si>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</si>
  <si>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</si>
  <si>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</si>
  <si>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</si>
  <si>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</si>
  <si>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</si>
  <si>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</si>
  <si>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</si>
  <si>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</si>
  <si>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</si>
  <si>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</si>
  <si>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</si>
  <si>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</si>
  <si>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</si>
  <si>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</si>
  <si>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</si>
  <si>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</si>
  <si>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</si>
  <si>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</si>
  <si>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</si>
  <si>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</si>
  <si>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</si>
  <si>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</si>
  <si>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</si>
  <si>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</si>
  <si>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</si>
  <si>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</si>
  <si>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</si>
  <si>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</si>
  <si>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</si>
  <si>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</si>
  <si>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</si>
  <si>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</si>
  <si>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</si>
  <si>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</si>
  <si>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</si>
  <si>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</si>
  <si>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</si>
  <si>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</si>
  <si>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</si>
  <si>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</si>
  <si>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</si>
  <si>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</si>
  <si>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</si>
  <si>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</si>
  <si>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</si>
  <si>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</si>
  <si>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</si>
  <si>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</si>
  <si>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</si>
  <si>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</si>
  <si>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</si>
  <si>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</si>
  <si>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</si>
  <si>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</si>
  <si>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</si>
  <si>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</si>
  <si>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</si>
  <si>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</si>
  <si>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</si>
  <si>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</si>
  <si>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</si>
  <si>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</si>
  <si>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</si>
  <si>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</si>
  <si>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</si>
  <si>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</si>
  <si>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</si>
  <si>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</si>
  <si>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</si>
  <si>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</si>
  <si>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</si>
  <si>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</si>
  <si>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</si>
  <si>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</si>
  <si>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</si>
  <si>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</si>
  <si>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</si>
  <si>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</si>
  <si>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</si>
  <si>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</si>
  <si>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</si>
  <si>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</si>
  <si>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</si>
  <si>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</si>
  <si>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</si>
  <si>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</si>
  <si>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</si>
  <si>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</si>
  <si>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</si>
  <si>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</si>
  <si>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</si>
  <si>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</si>
  <si>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</si>
  <si>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</si>
  <si>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</si>
  <si>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</si>
  <si>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</si>
  <si>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</si>
  <si>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</si>
  <si>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</si>
  <si>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</si>
  <si>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</si>
  <si>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</si>
  <si>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</si>
  <si>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</si>
  <si>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</si>
  <si>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</si>
  <si>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</si>
  <si>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</si>
  <si>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</si>
  <si>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</si>
  <si>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</si>
  <si>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</si>
  <si>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</si>
  <si>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</si>
  <si>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</si>
  <si>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</si>
  <si>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</si>
  <si>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</si>
  <si>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</si>
  <si>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</si>
  <si>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</si>
  <si>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</si>
  <si>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</si>
  <si>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</si>
  <si>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</si>
  <si>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</si>
  <si>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</si>
  <si>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</si>
  <si>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</si>
  <si>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</si>
  <si>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</si>
  <si>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</si>
  <si>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</si>
  <si>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</si>
  <si>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</si>
  <si>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</si>
  <si>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</si>
  <si>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</si>
  <si>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</si>
  <si>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</si>
  <si>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</si>
  <si>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</si>
  <si>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</si>
  <si>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</si>
  <si>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</si>
  <si>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</si>
  <si>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</si>
  <si>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</si>
  <si>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</si>
  <si>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</si>
  <si>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</si>
  <si>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</si>
  <si>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</si>
  <si>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</si>
  <si>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</si>
  <si>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</si>
  <si>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</si>
  <si>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</si>
  <si>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</si>
  <si>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</si>
  <si>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</si>
  <si>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</si>
  <si>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</si>
  <si>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</si>
  <si>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</si>
  <si>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</si>
  <si>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</si>
  <si>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</si>
  <si>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</si>
  <si>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</si>
  <si>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</si>
  <si>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</si>
  <si>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</si>
  <si>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</si>
  <si>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</si>
  <si>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</si>
  <si>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</si>
  <si>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</si>
  <si>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</si>
  <si>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</si>
  <si>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</si>
  <si>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</si>
  <si>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</si>
  <si>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</si>
  <si>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</si>
  <si>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</si>
  <si>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</si>
  <si>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</si>
  <si>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</si>
  <si>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</si>
  <si>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</si>
  <si>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</si>
  <si>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</si>
  <si>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</si>
  <si>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</si>
  <si>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</si>
  <si>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</si>
  <si>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</si>
  <si>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</si>
  <si>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</si>
  <si>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</si>
  <si>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</si>
  <si>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</si>
  <si>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</si>
  <si>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</si>
  <si>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</si>
  <si>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</si>
  <si>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</si>
  <si>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</si>
  <si>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</si>
  <si>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</si>
  <si>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</si>
  <si>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</si>
  <si>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</si>
  <si>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</si>
  <si>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</si>
  <si>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</si>
  <si>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</si>
  <si>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</si>
  <si>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</si>
  <si>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</si>
  <si>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</si>
  <si>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</si>
  <si>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</si>
  <si>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</si>
  <si>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</si>
  <si>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</si>
  <si>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</si>
  <si>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</si>
  <si>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</si>
  <si>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</si>
  <si>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</si>
  <si>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</si>
  <si>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</si>
  <si>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</si>
  <si>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</si>
  <si>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</si>
  <si>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</si>
  <si>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</si>
  <si>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</si>
  <si>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</si>
  <si>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</si>
  <si>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</si>
  <si>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</si>
  <si>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</si>
  <si>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</si>
  <si>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</si>
  <si>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</si>
  <si>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</si>
  <si>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</si>
  <si>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</si>
  <si>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</si>
  <si>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</si>
  <si>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</si>
  <si>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</si>
  <si>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</si>
  <si>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</si>
  <si>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</si>
  <si>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</si>
  <si>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</si>
  <si>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</si>
  <si>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</si>
  <si>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</si>
  <si>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</si>
  <si>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</si>
  <si>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</si>
  <si>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</si>
  <si>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</si>
  <si>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</si>
  <si>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</si>
  <si>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</si>
  <si>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</si>
  <si>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</si>
  <si>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</si>
  <si>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</si>
  <si>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</si>
  <si>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</si>
  <si>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</si>
  <si>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</si>
  <si>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</si>
  <si>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</si>
  <si>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</si>
  <si>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</si>
  <si>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</si>
  <si>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</si>
  <si>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</si>
  <si>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</si>
  <si>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</si>
  <si>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</si>
  <si>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</si>
  <si>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</si>
  <si>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</si>
  <si>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</si>
  <si>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</si>
  <si>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</si>
  <si>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</si>
  <si>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</si>
  <si>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</si>
  <si>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</si>
  <si>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</si>
  <si>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</si>
  <si>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</si>
  <si>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</si>
  <si>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</si>
  <si>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</si>
  <si>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</si>
  <si>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</si>
  <si>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</si>
  <si>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</si>
  <si>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</si>
  <si>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</si>
  <si>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</si>
  <si>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</si>
  <si>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</si>
  <si>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</si>
  <si>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</si>
  <si>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</si>
  <si>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</si>
  <si>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</si>
  <si>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</si>
  <si>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</si>
  <si>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</si>
  <si>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</si>
  <si>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</si>
  <si>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</si>
  <si>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</si>
  <si>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</si>
  <si>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</si>
  <si>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</si>
  <si>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</si>
  <si>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</si>
  <si>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</si>
  <si>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</si>
  <si>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</si>
  <si>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</si>
  <si>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</si>
  <si>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</si>
  <si>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</si>
  <si>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</si>
  <si>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</si>
  <si>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</si>
  <si>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</si>
  <si>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</si>
  <si>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</si>
  <si>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</si>
  <si>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</si>
  <si>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</si>
  <si>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</si>
  <si>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</si>
  <si>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</si>
  <si>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</si>
  <si>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</si>
  <si>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</si>
  <si>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</si>
  <si>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</si>
  <si>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</si>
  <si>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</si>
  <si>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</si>
  <si>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</si>
  <si>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</si>
  <si>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</si>
  <si>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</si>
  <si>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</si>
  <si>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</si>
  <si>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</si>
  <si>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</si>
  <si>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</si>
  <si>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</si>
  <si>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</si>
  <si>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</si>
  <si>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</si>
  <si>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</si>
  <si>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</si>
  <si>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</si>
  <si>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</si>
  <si>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</si>
  <si>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</si>
  <si>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</si>
  <si>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</si>
  <si>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</si>
  <si>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</si>
  <si>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</si>
  <si>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</si>
  <si>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</si>
  <si>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</si>
  <si>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</si>
  <si>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</si>
  <si>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</si>
  <si>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</si>
  <si>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</si>
  <si>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</si>
  <si>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</si>
  <si>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</si>
  <si>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</si>
  <si>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</si>
  <si>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</si>
  <si>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</si>
  <si>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</si>
  <si>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</si>
  <si>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</si>
  <si>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</si>
  <si>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</si>
  <si>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</si>
  <si>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</si>
  <si>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</si>
  <si>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</si>
  <si>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</si>
  <si>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</si>
  <si>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</si>
  <si>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</si>
  <si>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</si>
  <si>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</si>
  <si>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</si>
  <si>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</si>
  <si>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</si>
  <si>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</si>
  <si>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</si>
  <si>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</si>
  <si>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</si>
  <si>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</si>
  <si>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</si>
  <si>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</si>
  <si>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</si>
  <si>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</si>
  <si>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</si>
  <si>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</si>
  <si>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</si>
  <si>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</si>
  <si>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</si>
  <si>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</si>
  <si>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</si>
  <si>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</si>
  <si>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</si>
  <si>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</si>
  <si>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</si>
  <si>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</si>
  <si>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</si>
  <si>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</si>
  <si>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</si>
  <si>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</si>
  <si>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</si>
  <si>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</si>
  <si>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</si>
  <si>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</si>
  <si>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</si>
  <si>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</si>
  <si>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</si>
  <si>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</si>
  <si>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</si>
  <si>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</si>
  <si>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</si>
  <si>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</si>
  <si>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</si>
  <si>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</si>
  <si>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</si>
  <si>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</si>
  <si>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</si>
  <si>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</si>
  <si>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</si>
  <si>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</si>
  <si>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</si>
  <si>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</si>
  <si>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</si>
  <si>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</si>
  <si>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</si>
  <si>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</si>
  <si>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</si>
  <si>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</si>
  <si>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</si>
  <si>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</si>
  <si>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</si>
  <si>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</si>
  <si>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</si>
  <si>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</si>
  <si>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</si>
  <si>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</si>
  <si>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</si>
  <si>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</si>
  <si>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</si>
  <si>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</si>
  <si>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</si>
  <si>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</si>
  <si>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</si>
  <si>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</si>
  <si>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</si>
  <si>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</si>
  <si>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</si>
  <si>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</si>
  <si>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</si>
  <si>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</si>
  <si>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</si>
  <si>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</si>
  <si>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</si>
  <si>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</si>
  <si>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</si>
  <si>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</si>
  <si>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</si>
  <si>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</si>
  <si>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</si>
  <si>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</si>
  <si>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</si>
  <si>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</si>
  <si>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</si>
  <si>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</si>
  <si>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</si>
  <si>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</si>
  <si>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</si>
  <si>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</si>
  <si>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</si>
  <si>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</si>
  <si>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</si>
  <si>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</si>
  <si>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</si>
  <si>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</si>
  <si>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</si>
  <si>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</si>
  <si>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</si>
  <si>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</si>
  <si>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</si>
  <si>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</si>
  <si>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</si>
  <si>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</si>
  <si>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</si>
  <si>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</si>
  <si>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</si>
  <si>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</si>
  <si>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</si>
  <si>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</si>
  <si>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</si>
  <si>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</si>
  <si>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</si>
  <si>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</si>
  <si>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</si>
  <si>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</si>
  <si>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</si>
  <si>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</si>
  <si>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</si>
  <si>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</si>
  <si>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</si>
  <si>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</si>
  <si>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</si>
  <si>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</si>
  <si>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</si>
  <si>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</si>
  <si>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</si>
  <si>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</si>
  <si>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</si>
  <si>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</si>
  <si>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</si>
  <si>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</si>
  <si>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</si>
  <si>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</si>
  <si>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</si>
  <si>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</si>
  <si>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</si>
  <si>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</si>
  <si>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</si>
  <si>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</si>
  <si>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</si>
  <si>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</si>
  <si>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</si>
  <si>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</si>
  <si>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</si>
  <si>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</si>
  <si>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</si>
  <si>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</si>
  <si>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</si>
  <si>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</si>
  <si>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</si>
  <si>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</si>
  <si>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</si>
  <si>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</si>
  <si>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</si>
  <si>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</si>
  <si>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</si>
  <si>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</si>
  <si>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</si>
  <si>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</si>
  <si>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</si>
  <si>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</si>
  <si>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</si>
  <si>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</si>
  <si>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</si>
  <si>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</si>
  <si>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</si>
  <si>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</si>
  <si>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</si>
  <si>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</si>
  <si>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</si>
  <si>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</si>
  <si>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</si>
  <si>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</si>
  <si>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</si>
  <si>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</si>
  <si>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</si>
  <si>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</si>
  <si>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</si>
  <si>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</si>
  <si>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</si>
  <si>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</si>
  <si>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</si>
  <si>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</si>
  <si>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</si>
  <si>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</si>
  <si>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</si>
  <si>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</si>
  <si>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</si>
  <si>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</si>
  <si>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</si>
  <si>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</si>
  <si>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</si>
  <si>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</si>
  <si>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</si>
  <si>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</si>
  <si>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</si>
  <si>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</si>
  <si>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</si>
  <si>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</si>
  <si>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</si>
  <si>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</si>
  <si>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</si>
  <si>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</si>
  <si>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</si>
  <si>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</si>
  <si>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</si>
  <si>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</si>
  <si>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</si>
  <si>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</si>
  <si>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</si>
  <si>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</si>
  <si>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</si>
  <si>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</si>
  <si>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</si>
  <si>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</si>
  <si>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</si>
  <si>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</si>
  <si>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</si>
  <si>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</si>
  <si>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</si>
  <si>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</si>
  <si>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</si>
  <si>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</si>
  <si>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</si>
  <si>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</si>
  <si>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</si>
  <si>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</si>
  <si>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</si>
  <si>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</si>
  <si>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</si>
  <si>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</si>
  <si>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</si>
  <si>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</si>
  <si>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</si>
  <si>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</si>
  <si>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</si>
  <si>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</si>
  <si>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</si>
  <si>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</si>
  <si>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</si>
  <si>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</si>
  <si>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</si>
  <si>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</si>
  <si>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</si>
  <si>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</si>
  <si>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</si>
  <si>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</si>
  <si>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</si>
  <si>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</si>
  <si>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</si>
  <si>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</si>
  <si>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</si>
  <si>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</si>
  <si>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</si>
  <si>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</si>
  <si>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</si>
  <si>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</si>
  <si>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</si>
  <si>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</si>
  <si>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</si>
  <si>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</si>
  <si>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</si>
  <si>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</si>
  <si>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</si>
  <si>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</si>
  <si>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</si>
  <si>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</si>
  <si>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</si>
  <si>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</si>
  <si>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</si>
  <si>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</si>
  <si>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</si>
  <si>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</si>
  <si>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</si>
  <si>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</si>
  <si>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</si>
  <si>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</si>
  <si>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</si>
  <si>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</si>
  <si>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</si>
  <si>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</si>
  <si>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</si>
  <si>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</si>
  <si>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</si>
  <si>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</si>
  <si>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</si>
  <si>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</si>
  <si>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</si>
  <si>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</si>
  <si>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</si>
  <si>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</si>
  <si>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</si>
  <si>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</si>
  <si>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</si>
  <si>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</si>
  <si>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</si>
  <si>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</si>
  <si>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</si>
  <si>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</si>
  <si>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</si>
  <si>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</si>
  <si>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</si>
  <si>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</si>
  <si>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</si>
  <si>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</si>
  <si>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</si>
  <si>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</si>
  <si>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</si>
  <si>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</si>
  <si>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</si>
  <si>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</si>
  <si>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</si>
  <si>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</si>
  <si>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</si>
  <si>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</si>
  <si>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</si>
  <si>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</si>
  <si>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</si>
  <si>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</si>
  <si>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</si>
  <si>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</si>
  <si>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</si>
  <si>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</si>
  <si>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</si>
  <si>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</si>
  <si>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</si>
  <si>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</si>
  <si>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</si>
  <si>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</si>
  <si>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</si>
  <si>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</si>
  <si>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</si>
  <si>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</si>
  <si>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</si>
  <si>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</si>
  <si>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</si>
  <si>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</si>
  <si>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</si>
  <si>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</si>
  <si>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</si>
  <si>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</si>
  <si>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</si>
  <si>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</si>
  <si>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</si>
  <si>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</si>
  <si>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</si>
  <si>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</si>
  <si>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</si>
  <si>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</si>
  <si>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</si>
  <si>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</si>
  <si>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</si>
  <si>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</si>
  <si>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</si>
  <si>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</si>
  <si>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</si>
  <si>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</si>
  <si>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</si>
  <si>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</si>
  <si>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</si>
  <si>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</si>
  <si>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</si>
  <si>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</si>
  <si>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</si>
  <si>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</si>
  <si>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</si>
  <si>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</si>
  <si>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</si>
  <si>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</si>
  <si>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</si>
  <si>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</si>
  <si>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</si>
  <si>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</si>
  <si>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</si>
  <si>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</si>
  <si>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</si>
  <si>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</si>
  <si>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</si>
  <si>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</si>
  <si>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</si>
  <si>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</si>
  <si>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</si>
  <si>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</si>
  <si>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</si>
  <si>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</si>
  <si>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</si>
  <si>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</si>
  <si>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</si>
  <si>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</si>
  <si>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</si>
  <si>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</si>
  <si>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</si>
  <si>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</si>
  <si>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</si>
  <si>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</si>
  <si>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</si>
  <si>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</si>
  <si>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</si>
  <si>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</si>
  <si>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</si>
  <si>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</si>
  <si>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</si>
  <si>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</si>
  <si>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</si>
  <si>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</si>
  <si>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</si>
  <si>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</si>
  <si>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</si>
  <si>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</si>
  <si>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</si>
  <si>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</si>
  <si>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</si>
  <si>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</si>
  <si>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</si>
  <si>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</si>
  <si>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</si>
  <si>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</si>
  <si>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</si>
  <si>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</si>
  <si>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</si>
  <si>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</si>
  <si>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</si>
  <si>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</si>
  <si>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</si>
  <si>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</si>
  <si>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</si>
  <si>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</si>
  <si>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</si>
  <si>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</si>
  <si>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</si>
  <si>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</si>
  <si>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</si>
  <si>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</si>
  <si>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</si>
  <si>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</si>
  <si>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</si>
  <si>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</si>
  <si>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</si>
  <si>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</si>
  <si>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</si>
  <si>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</si>
  <si>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</si>
  <si>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</si>
  <si>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</si>
  <si>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</si>
  <si>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</si>
  <si>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</si>
  <si>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</si>
  <si>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</si>
  <si>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</si>
  <si>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</si>
  <si>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</si>
  <si>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</si>
  <si>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</si>
  <si>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</si>
  <si>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</si>
  <si>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</si>
  <si>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</si>
  <si>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</si>
  <si>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</si>
  <si>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</si>
  <si>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</si>
  <si>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</si>
  <si>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</si>
  <si>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</si>
  <si>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</si>
  <si>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</si>
  <si>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</si>
  <si>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</si>
  <si>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</si>
  <si>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</si>
  <si>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</si>
  <si>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</si>
  <si>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</si>
  <si>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</si>
  <si>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</si>
  <si>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</si>
  <si>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</si>
  <si>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</si>
  <si>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</si>
  <si>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</si>
  <si>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</si>
  <si>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</si>
  <si>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</si>
  <si>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</si>
  <si>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</si>
  <si>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</si>
  <si>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</si>
  <si>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</si>
  <si>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</si>
  <si>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</si>
  <si>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</si>
  <si>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</si>
  <si>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</si>
  <si>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</si>
  <si>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</si>
  <si>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</si>
  <si>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</si>
  <si>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</si>
  <si>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</si>
  <si>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</si>
  <si>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</si>
  <si>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</si>
  <si>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</si>
  <si>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</si>
  <si>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</si>
  <si>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</si>
  <si>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</si>
  <si>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</si>
  <si>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</si>
  <si>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</si>
  <si>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</si>
  <si>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</si>
  <si>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</si>
  <si>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</si>
  <si>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</si>
  <si>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</si>
  <si>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</si>
  <si>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</si>
  <si>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</si>
  <si>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</si>
  <si>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</si>
  <si>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</si>
  <si>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</si>
  <si>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</si>
  <si>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</si>
  <si>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</si>
  <si>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</si>
  <si>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</si>
  <si>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</si>
  <si>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</si>
  <si>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</si>
  <si>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</si>
  <si>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</si>
  <si>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</si>
  <si>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</si>
  <si>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</si>
  <si>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</si>
  <si>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</si>
  <si>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</si>
  <si>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</si>
  <si>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</si>
  <si>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</si>
  <si>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</si>
  <si>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</si>
  <si>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</si>
  <si>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</si>
  <si>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</si>
  <si>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</si>
  <si>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</si>
  <si>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</si>
  <si>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</si>
  <si>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</si>
  <si>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</si>
  <si>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</si>
  <si>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</si>
  <si>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</si>
  <si>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</si>
  <si>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</si>
  <si>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</si>
  <si>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</si>
  <si>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</si>
  <si>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</si>
  <si>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</si>
  <si>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</si>
  <si>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</si>
  <si>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</si>
  <si>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</si>
  <si>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</si>
  <si>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</si>
  <si>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</si>
  <si>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</si>
  <si>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</si>
  <si>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</si>
  <si>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</si>
  <si>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</si>
  <si>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</si>
  <si>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</si>
  <si>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</si>
  <si>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</si>
  <si>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</si>
  <si>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</si>
  <si>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</si>
  <si>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</si>
  <si>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</si>
  <si>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</si>
  <si>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</si>
  <si>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</si>
  <si>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</si>
  <si>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</si>
  <si>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</si>
  <si>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</si>
  <si>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</si>
  <si>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</si>
  <si>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</si>
  <si>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</si>
  <si>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</si>
  <si>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</si>
  <si>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</si>
  <si>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</si>
  <si>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</si>
  <si>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</si>
  <si>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</si>
  <si>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</si>
  <si>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</si>
  <si>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</si>
  <si>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</si>
  <si>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</si>
  <si>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</si>
  <si>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</si>
  <si>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</si>
  <si>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</si>
  <si>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</si>
  <si>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</si>
  <si>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</si>
  <si>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</si>
  <si>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</si>
  <si>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</si>
  <si>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</si>
  <si>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</si>
  <si>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</si>
  <si>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</si>
  <si>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</si>
  <si>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</si>
  <si>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</si>
  <si>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</si>
  <si>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</si>
  <si>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</si>
  <si>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</si>
  <si>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</si>
  <si>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</si>
  <si>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</si>
  <si>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</si>
  <si>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</si>
  <si>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</si>
  <si>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</si>
  <si>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</si>
  <si>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</si>
  <si>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</si>
  <si>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</si>
  <si>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</si>
  <si>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</si>
  <si>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</si>
  <si>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</si>
  <si>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</si>
  <si>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</si>
  <si>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</si>
  <si>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</si>
  <si>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</si>
  <si>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</si>
  <si>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</si>
  <si>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</si>
  <si>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</si>
  <si>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</si>
  <si>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</si>
  <si>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</si>
  <si>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</si>
  <si>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</si>
  <si>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</si>
  <si>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</si>
  <si>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</si>
  <si>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</si>
  <si>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</si>
  <si>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</si>
  <si>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</si>
  <si>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</si>
  <si>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</si>
  <si>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</si>
  <si>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</si>
  <si>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</si>
  <si>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</si>
  <si>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</si>
  <si>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</si>
  <si>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</si>
  <si>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</si>
  <si>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</si>
  <si>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</si>
  <si>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</si>
  <si>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</si>
  <si>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</si>
  <si>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</si>
  <si>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</si>
  <si>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</si>
  <si>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</si>
  <si>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</si>
  <si>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</si>
  <si>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</si>
  <si>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</si>
  <si>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</si>
  <si>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</si>
  <si>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</si>
  <si>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</si>
  <si>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</si>
  <si>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</si>
  <si>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</si>
  <si>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</si>
  <si>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</si>
  <si>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</si>
  <si>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</si>
  <si>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</si>
  <si>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</si>
  <si>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</si>
  <si>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</si>
  <si>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</si>
  <si>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</si>
  <si>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</si>
  <si>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</si>
  <si>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</si>
  <si>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</si>
  <si>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</si>
  <si>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</si>
  <si>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</si>
  <si>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</si>
  <si>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</si>
  <si>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</si>
  <si>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</si>
  <si>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</si>
  <si>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</si>
  <si>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</si>
  <si>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</si>
  <si>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</si>
  <si>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</si>
  <si>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</si>
  <si>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</si>
  <si>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</si>
  <si>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</si>
  <si>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</si>
  <si>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</si>
  <si>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</si>
  <si>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</si>
  <si>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</si>
  <si>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</si>
  <si>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</si>
  <si>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</si>
  <si>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</si>
  <si>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</si>
  <si>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</si>
  <si>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</si>
  <si>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</si>
  <si>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</si>
  <si>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</si>
  <si>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</si>
  <si>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</si>
  <si>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</si>
  <si>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</si>
  <si>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</si>
  <si>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</si>
  <si>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</si>
  <si>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</si>
  <si>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</si>
  <si>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</si>
  <si>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</si>
  <si>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</si>
  <si>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</si>
  <si>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</si>
  <si>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</si>
  <si>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</si>
  <si>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</si>
  <si>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</si>
  <si>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</si>
  <si>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</si>
  <si>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</si>
  <si>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</si>
  <si>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</si>
  <si>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</si>
  <si>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</si>
  <si>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</si>
  <si>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</si>
  <si>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</si>
  <si>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</si>
  <si>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</si>
  <si>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</si>
  <si>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</si>
  <si>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</si>
  <si>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</si>
  <si>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</si>
  <si>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</si>
  <si>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</si>
  <si>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</si>
  <si>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</si>
  <si>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</si>
  <si>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</si>
  <si>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</si>
  <si>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</si>
  <si>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</si>
  <si>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</si>
  <si>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</si>
  <si>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</si>
  <si>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</si>
  <si>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</si>
  <si>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</si>
  <si>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</si>
  <si>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</si>
  <si>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</si>
  <si>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</si>
  <si>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</si>
  <si>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</si>
  <si>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</si>
  <si>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</si>
  <si>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</si>
  <si>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</si>
  <si>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</si>
  <si>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</si>
  <si>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</si>
  <si>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</si>
  <si>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</si>
  <si>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</si>
  <si>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</si>
  <si>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</si>
  <si>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</si>
  <si>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</si>
  <si>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</si>
  <si>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</si>
  <si>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</si>
  <si>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</si>
  <si>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</si>
  <si>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</si>
  <si>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</si>
  <si>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</si>
  <si>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</si>
  <si>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</si>
  <si>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</si>
  <si>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</si>
  <si>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</si>
  <si>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</si>
  <si>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</si>
  <si>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</si>
  <si>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</si>
  <si>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</si>
  <si>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</si>
  <si>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</si>
  <si>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</si>
  <si>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</si>
  <si>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</si>
  <si>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</si>
  <si>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</si>
  <si>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</si>
  <si>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</si>
  <si>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</si>
  <si>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</si>
  <si>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</si>
  <si>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</si>
  <si>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</si>
  <si>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</si>
  <si>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</si>
  <si>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</si>
  <si>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</si>
  <si>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</si>
  <si>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</si>
  <si>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</si>
  <si>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</si>
  <si>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</si>
  <si>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</si>
  <si>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</si>
  <si>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</si>
  <si>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</si>
  <si>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</si>
  <si>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</si>
  <si>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</si>
  <si>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</si>
  <si>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</si>
  <si>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</si>
  <si>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</si>
  <si>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</si>
  <si>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</si>
  <si>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</si>
  <si>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</si>
  <si>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</si>
  <si>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</si>
  <si>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</si>
  <si>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</si>
  <si>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</si>
  <si>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</si>
  <si>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</si>
  <si>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</si>
  <si>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</si>
  <si>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</si>
  <si>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</si>
  <si>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</si>
  <si>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</si>
  <si>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</si>
  <si>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</si>
  <si>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</si>
  <si>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</si>
  <si>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</si>
  <si>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</si>
  <si>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</si>
  <si>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</si>
  <si>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</si>
  <si>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</si>
  <si>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</si>
  <si>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</si>
  <si>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</si>
  <si>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</si>
  <si>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</si>
  <si>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</si>
  <si>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</si>
  <si>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</si>
  <si>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</si>
  <si>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</si>
  <si>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</si>
  <si>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</si>
  <si>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</si>
  <si>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</si>
  <si>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</si>
  <si>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</si>
  <si>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</si>
  <si>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</si>
  <si>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</si>
  <si>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</si>
  <si>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</si>
  <si>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</si>
  <si>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</si>
  <si>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</si>
  <si>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</si>
  <si>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</si>
  <si>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</si>
  <si>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</si>
  <si>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</si>
  <si>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</si>
  <si>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</si>
  <si>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</si>
  <si>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</si>
  <si>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</si>
  <si>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</si>
  <si>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</si>
  <si>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</si>
  <si>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</si>
  <si>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</si>
  <si>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</si>
  <si>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</si>
  <si>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</si>
  <si>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</si>
  <si>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</si>
  <si>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</si>
  <si>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</si>
  <si>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</si>
  <si>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</si>
  <si>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</si>
  <si>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</si>
  <si>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</si>
  <si>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</si>
  <si>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</si>
  <si>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</si>
  <si>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</si>
  <si>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</si>
  <si>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</si>
  <si>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</si>
  <si>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</si>
  <si>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</si>
  <si>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</si>
  <si>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</si>
  <si>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</si>
  <si>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</si>
  <si>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</si>
  <si>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</si>
  <si>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</si>
  <si>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</si>
  <si>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</si>
  <si>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</si>
  <si>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</si>
  <si>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</si>
  <si>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</si>
  <si>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</si>
  <si>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</si>
  <si>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</si>
  <si>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</si>
  <si>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</si>
  <si>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</si>
  <si>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</si>
  <si>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</si>
  <si>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</si>
  <si>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</si>
  <si>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</si>
  <si>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</si>
  <si>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</si>
  <si>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</si>
  <si>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</si>
  <si>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</si>
  <si>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</si>
  <si>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</si>
  <si>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</si>
  <si>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</si>
  <si>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</si>
  <si>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</si>
  <si>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</si>
  <si>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</si>
  <si>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</si>
  <si>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</si>
  <si>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</si>
  <si>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</si>
  <si>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</si>
  <si>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</si>
  <si>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</si>
  <si>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</si>
  <si>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</si>
  <si>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</si>
  <si>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</si>
  <si>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</si>
  <si>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</si>
  <si>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</si>
  <si>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</si>
  <si>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</si>
  <si>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</si>
  <si>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</si>
  <si>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</si>
  <si>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</si>
  <si>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</si>
  <si>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</si>
  <si>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</si>
  <si>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</si>
  <si>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</si>
  <si>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</si>
  <si>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</si>
  <si>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</si>
  <si>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</si>
  <si>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</si>
  <si>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</si>
  <si>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</si>
  <si>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</si>
  <si>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</si>
  <si>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</si>
  <si>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</si>
  <si>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</si>
  <si>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</si>
  <si>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</si>
  <si>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</si>
  <si>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</si>
  <si>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</si>
  <si>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</si>
  <si>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</si>
  <si>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</si>
  <si>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</si>
  <si>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</si>
  <si>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</si>
  <si>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</si>
  <si>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</si>
  <si>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</si>
  <si>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</si>
  <si>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</si>
  <si>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</si>
  <si>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</si>
  <si>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</si>
  <si>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</si>
  <si>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</si>
  <si>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</si>
  <si>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</si>
  <si>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</si>
  <si>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</si>
  <si>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</si>
  <si>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</si>
  <si>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</si>
  <si>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</si>
  <si>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</si>
  <si>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</si>
  <si>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</si>
  <si>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</si>
  <si>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</si>
  <si>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</si>
  <si>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</si>
  <si>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</si>
  <si>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</si>
  <si>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</si>
  <si>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</si>
  <si>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</si>
  <si>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</si>
  <si>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</si>
  <si>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</si>
  <si>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</si>
  <si>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</si>
  <si>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</si>
  <si>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</si>
  <si>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</si>
  <si>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</si>
  <si>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</si>
  <si>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</si>
  <si>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</si>
  <si>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</si>
  <si>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</si>
  <si>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</si>
  <si>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</si>
  <si>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</si>
  <si>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</si>
  <si>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</si>
  <si>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</si>
  <si>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</si>
  <si>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</si>
  <si>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</si>
  <si>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</si>
  <si>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</si>
  <si>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</si>
  <si>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</si>
  <si>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</si>
  <si>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</si>
  <si>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</si>
  <si>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</si>
  <si>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</si>
  <si>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</si>
  <si>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</si>
  <si>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</si>
  <si>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</si>
  <si>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</si>
  <si>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</si>
  <si>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</si>
  <si>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</si>
  <si>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</si>
  <si>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</si>
  <si>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</si>
  <si>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</si>
  <si>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</si>
  <si>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</si>
  <si>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</si>
  <si>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</si>
  <si>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</si>
  <si>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</si>
  <si>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</si>
  <si>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</si>
  <si>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</si>
  <si>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</si>
  <si>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</si>
  <si>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</si>
  <si>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</si>
  <si>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</si>
  <si>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</si>
  <si>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</si>
  <si>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</si>
  <si>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</si>
  <si>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</si>
  <si>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</si>
  <si>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</si>
  <si>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</si>
  <si>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</si>
  <si>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</si>
  <si>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</si>
  <si>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</si>
  <si>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</si>
  <si>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</si>
  <si>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</si>
  <si>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</si>
  <si>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</si>
  <si>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</si>
  <si>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</si>
  <si>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</si>
  <si>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</si>
  <si>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</si>
  <si>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</si>
  <si>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</si>
  <si>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</si>
  <si>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</si>
  <si>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</si>
  <si>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</si>
  <si>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</si>
  <si>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</si>
  <si>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</si>
  <si>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</si>
  <si>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</si>
  <si>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</si>
  <si>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</si>
  <si>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</si>
  <si>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</si>
  <si>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</si>
  <si>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</si>
  <si>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</si>
  <si>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</si>
  <si>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</si>
  <si>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</si>
  <si>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</si>
  <si>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</si>
  <si>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</si>
  <si>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</si>
  <si>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</si>
  <si>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</si>
  <si>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</si>
  <si>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</si>
  <si>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</si>
  <si>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</si>
  <si>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</si>
  <si>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</si>
  <si>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</si>
  <si>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</si>
  <si>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</si>
  <si>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</si>
  <si>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</si>
  <si>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</si>
  <si>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</si>
  <si>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</si>
  <si>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</si>
  <si>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</si>
  <si>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</si>
  <si>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</si>
  <si>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</si>
  <si>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</si>
  <si>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</si>
  <si>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</si>
  <si>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</si>
  <si>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</si>
  <si>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</si>
  <si>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</si>
  <si>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</si>
  <si>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</si>
  <si>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</si>
  <si>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</si>
  <si>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</si>
  <si>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</si>
  <si>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</si>
  <si>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</si>
  <si>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</si>
  <si>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</si>
  <si>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</si>
  <si>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</si>
  <si>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</si>
  <si>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</si>
  <si>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</si>
  <si>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</si>
  <si>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</si>
  <si>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</si>
  <si>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</si>
  <si>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</si>
  <si>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</si>
  <si>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</si>
  <si>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</si>
  <si>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</si>
  <si>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</si>
  <si>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</si>
  <si>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</si>
  <si>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</si>
  <si>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</si>
  <si>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</si>
  <si>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</si>
  <si>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</si>
  <si>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</si>
  <si>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</si>
  <si>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</si>
  <si>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</si>
  <si>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</si>
  <si>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</si>
  <si>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</si>
  <si>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</si>
  <si>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</si>
  <si>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</si>
  <si>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</si>
  <si>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</si>
  <si>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</si>
  <si>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</si>
  <si>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</si>
  <si>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</si>
  <si>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</si>
  <si>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</si>
  <si>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</si>
  <si>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</si>
  <si>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</si>
  <si>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</si>
  <si>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</si>
  <si>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</si>
  <si>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</si>
  <si>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</si>
  <si>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</si>
  <si>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</si>
  <si>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</si>
  <si>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</si>
  <si>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</si>
  <si>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</si>
  <si>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</si>
  <si>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</si>
  <si>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</si>
  <si>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</si>
  <si>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</si>
  <si>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</si>
  <si>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</si>
  <si>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</si>
  <si>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</si>
  <si>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</si>
  <si>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</si>
  <si>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</si>
  <si>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</si>
  <si>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</si>
  <si>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</si>
  <si>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</si>
  <si>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</si>
  <si>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</si>
  <si>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</si>
  <si>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</si>
  <si>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</si>
  <si>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</si>
  <si>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</si>
  <si>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</si>
  <si>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</si>
  <si>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</si>
  <si>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</si>
  <si>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</si>
  <si>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</si>
  <si>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</si>
  <si>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</si>
  <si>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</si>
  <si>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</si>
  <si>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</si>
  <si>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</si>
  <si>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</si>
  <si>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</si>
  <si>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</si>
  <si>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</si>
  <si>
    <t>Year on Year %</t>
  </si>
  <si>
    <t>Values</t>
  </si>
  <si>
    <t>Market share per coffee type per year</t>
  </si>
  <si>
    <t>cumulative 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</si>
</sst>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10"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[coffeeOrdersProject.xlsx]Year on Year Growth %!TotalSales</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71230660625614E-2"/>
          <c:y val="1.1675846823200513E-2"/>
          <c:w val="0.7914425643600731"/>
          <c:h val="0.80771200102304885"/>
        </c:manualLayout>
      </c:layout>
      <c:barChart>
        <c:barDir val="col"/>
        <c:grouping val="clustered"/>
        <c:varyColors val="0"/>
        <c:ser>
          <c:idx val="1"/>
          <c:order val="1"/>
          <c:tx>
            <c:strRef>
              <c:f>'Year on Year Growth %'!$D$3:$D$5</c:f>
              <c:strCache>
                <c:ptCount val="1"/>
                <c:pt idx="0">
                  <c:v>Arabica - Sum of Sales</c:v>
                </c:pt>
              </c:strCache>
            </c:strRef>
          </c:tx>
          <c:spPr>
            <a:solidFill>
              <a:schemeClr val="accent2"/>
            </a:solidFill>
            <a:ln>
              <a:noFill/>
            </a:ln>
            <a:effectLst/>
          </c:spPr>
          <c:invertIfNegative val="0"/>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%'!$D$6:$D$49</c:f>
              <c:numCache>
                <c:formatCode>_-[$$-409]* #,##0.00_ ;_-[$$-409]* \-#,##0.00\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A9CF-4DC0-B984-93F7AC636EFB}"/>
            </c:ext>
          </c:extLst>
        </c:ser>
        <c:ser>
          <c:idx val="3"/>
          <c:order val="3"/>
          <c:tx>
            <c:strRef>
              <c:f>'Year on Year Growth %'!$F$3:$F$5</c:f>
              <c:strCache>
                <c:ptCount val="1"/>
                <c:pt idx="0">
                  <c:v>Excelsa - Sum of Sales</c:v>
                </c:pt>
              </c:strCache>
            </c:strRef>
          </c:tx>
          <c:spPr>
            <a:solidFill>
              <a:schemeClr val="accent4"/>
            </a:solidFill>
            <a:ln>
              <a:noFill/>
            </a:ln>
            <a:effectLst/>
          </c:spPr>
          <c:invertIfNegative val="0"/>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%'!$F$6:$F$49</c:f>
              <c:numCache>
                <c:formatCode>_-[$$-409]* #,##0.00_ ;_-[$$-409]* \-#,##0.00\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1-A9CF-4DC0-B984-93F7AC636EFB}"/>
            </c:ext>
          </c:extLst>
        </c:ser>
        <c:ser>
          <c:idx val="5"/>
          <c:order val="5"/>
          <c:tx>
            <c:strRef>
              <c:f>'Year on Year Growth %'!$H$3:$H$5</c:f>
              <c:strCache>
                <c:ptCount val="1"/>
                <c:pt idx="0">
                  <c:v>Liberica - Sum of Sales</c:v>
                </c:pt>
              </c:strCache>
            </c:strRef>
          </c:tx>
          <c:spPr>
            <a:solidFill>
              <a:schemeClr val="accent6"/>
            </a:solidFill>
            <a:ln>
              <a:noFill/>
            </a:ln>
            <a:effectLst/>
          </c:spPr>
          <c:invertIfNegative val="0"/>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%'!$H$6:$H$49</c:f>
              <c:numCache>
                <c:formatCode>_-[$$-409]* #,##0.00_ ;_-[$$-409]* \-#,##0.00\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02-A9CF-4DC0-B984-93F7AC636EFB}"/>
            </c:ext>
          </c:extLst>
        </c:ser>
        <c:ser>
          <c:idx val="7"/>
          <c:order val="7"/>
          <c:tx>
            <c:strRef>
              <c:f>'Year on Year Growth %'!$J$3:$J$5</c:f>
              <c:strCache>
                <c:ptCount val="1"/>
                <c:pt idx="0">
                  <c:v>Robusta - Sum of Sales</c:v>
                </c:pt>
              </c:strCache>
            </c:strRef>
          </c:tx>
          <c:spPr>
            <a:solidFill>
              <a:schemeClr val="accent2">
                <a:lumMod val="60000"/>
              </a:schemeClr>
            </a:solidFill>
            <a:ln>
              <a:noFill/>
            </a:ln>
            <a:effectLst/>
          </c:spPr>
          <c:invertIfNegative val="0"/>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%'!$J$6:$J$49</c:f>
              <c:numCache>
                <c:formatCode>_-[$$-409]* #,##0.00_ ;_-[$$-409]* \-#,##0.00\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03-A9CF-4DC0-B984-93F7AC636EFB}"/>
            </c:ext>
          </c:extLst>
        </c:ser>
        <c:dLbls>
          <c:showLegendKey val="0"/>
          <c:showVal val="0"/>
          <c:showCatName val="0"/>
          <c:showSerName val="0"/>
          <c:showPercent val="0"/>
          <c:showBubbleSize val="0"/>
        </c:dLbls>
        <c:gapWidth val="219"/>
        <c:axId val="481161999"/>
        <c:axId val="481162479"/>
      </c:barChart>
      <c:lineChart>
        <c:grouping val="standard"/>
        <c:varyColors val="0"/>
        <c:ser>
          <c:idx val="0"/>
          <c:order val="0"/>
          <c:tx>
            <c:strRef>
              <c:f>'Year on Year Growth %'!$C$3:$C$5</c:f>
              <c:strCache>
                <c:ptCount val="1"/>
                <c:pt idx="0">
                  <c:v>Arabica - Year on Year %</c:v>
                </c:pt>
              </c:strCache>
            </c:strRef>
          </c:tx>
          <c:spPr>
            <a:ln w="28575" cap="rnd">
              <a:solidFill>
                <a:schemeClr val="accent1"/>
              </a:solidFill>
              <a:round/>
            </a:ln>
            <a:effectLst/>
          </c:spPr>
          <c:marker>
            <c:symbol val="none"/>
          </c:marker>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%'!$C$6:$C$49</c:f>
              <c:numCache>
                <c:formatCode>0.00%</c:formatCode>
                <c:ptCount val="44"/>
                <c:pt idx="12">
                  <c:v>-0.74713012763907838</c:v>
                </c:pt>
                <c:pt idx="13">
                  <c:v>1.9585458297779454</c:v>
                </c:pt>
                <c:pt idx="14">
                  <c:v>-0.41999155349085332</c:v>
                </c:pt>
                <c:pt idx="15">
                  <c:v>-0.91208648085438915</c:v>
                </c:pt>
                <c:pt idx="16">
                  <c:v>3.7538432870586043</c:v>
                </c:pt>
                <c:pt idx="17">
                  <c:v>2.587228560912771</c:v>
                </c:pt>
                <c:pt idx="18">
                  <c:v>0.248101559329894</c:v>
                </c:pt>
                <c:pt idx="19">
                  <c:v>-0.93281375974200487</c:v>
                </c:pt>
                <c:pt idx="20">
                  <c:v>-0.29410777236864188</c:v>
                </c:pt>
                <c:pt idx="21">
                  <c:v>0.24519429773001955</c:v>
                </c:pt>
                <c:pt idx="22">
                  <c:v>0.64681061901641435</c:v>
                </c:pt>
                <c:pt idx="23">
                  <c:v>-0.63910850086589877</c:v>
                </c:pt>
                <c:pt idx="24">
                  <c:v>4.4676190476190483</c:v>
                </c:pt>
                <c:pt idx="25">
                  <c:v>-0.5409484204171976</c:v>
                </c:pt>
                <c:pt idx="26">
                  <c:v>2.2061393423775573</c:v>
                </c:pt>
                <c:pt idx="27">
                  <c:v>2.7899999999999996</c:v>
                </c:pt>
                <c:pt idx="28">
                  <c:v>-7.9944338827587502E-2</c:v>
                </c:pt>
                <c:pt idx="29">
                  <c:v>-0.26402640264026384</c:v>
                </c:pt>
                <c:pt idx="30">
                  <c:v>-0.74686498536993173</c:v>
                </c:pt>
                <c:pt idx="31">
                  <c:v>11.778888888888888</c:v>
                </c:pt>
                <c:pt idx="32">
                  <c:v>5.666111771700356</c:v>
                </c:pt>
                <c:pt idx="33">
                  <c:v>-0.20466452144775679</c:v>
                </c:pt>
                <c:pt idx="34">
                  <c:v>-0.37240382002406924</c:v>
                </c:pt>
                <c:pt idx="35">
                  <c:v>3.1673795117880248</c:v>
                </c:pt>
                <c:pt idx="36">
                  <c:v>-0.56378099053591135</c:v>
                </c:pt>
                <c:pt idx="37">
                  <c:v>-0.66428988895382812</c:v>
                </c:pt>
                <c:pt idx="38">
                  <c:v>-0.33598689951112209</c:v>
                </c:pt>
                <c:pt idx="39">
                  <c:v>0.93389035473468207</c:v>
                </c:pt>
                <c:pt idx="40">
                  <c:v>-0.17725374914792091</c:v>
                </c:pt>
                <c:pt idx="41">
                  <c:v>-0.58226259903808175</c:v>
                </c:pt>
                <c:pt idx="42">
                  <c:v>1.2686115315811199</c:v>
                </c:pt>
                <c:pt idx="43">
                  <c:v>-0.59518302756282071</c:v>
                </c:pt>
              </c:numCache>
            </c:numRef>
          </c:val>
          <c:smooth val="0"/>
          <c:extLst>
            <c:ext xmlns:c16="http://schemas.microsoft.com/office/drawing/2014/chart" uri="{C3380CC4-5D6E-409C-BE32-E72D297353CC}">
              <c16:uniqueId val="{00000004-A9CF-4DC0-B984-93F7AC636EFB}"/>
            </c:ext>
          </c:extLst>
        </c:ser>
        <c:ser>
          <c:idx val="2"/>
          <c:order val="2"/>
          <c:tx>
            <c:strRef>
              <c:f>'Year on Year Growth %'!$E$3:$E$5</c:f>
              <c:strCache>
                <c:ptCount val="1"/>
                <c:pt idx="0">
                  <c:v>Excelsa - Year on Year %</c:v>
                </c:pt>
              </c:strCache>
            </c:strRef>
          </c:tx>
          <c:spPr>
            <a:ln w="28575" cap="rnd">
              <a:solidFill>
                <a:schemeClr val="accent3"/>
              </a:solidFill>
              <a:round/>
            </a:ln>
            <a:effectLst/>
          </c:spPr>
          <c:marker>
            <c:symbol val="none"/>
          </c:marker>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%'!$E$6:$E$49</c:f>
              <c:numCache>
                <c:formatCode>0.00%</c:formatCode>
                <c:ptCount val="44"/>
                <c:pt idx="12">
                  <c:v>-0.78492989508775368</c:v>
                </c:pt>
                <c:pt idx="13">
                  <c:v>2.3128765641897107</c:v>
                </c:pt>
                <c:pt idx="14">
                  <c:v>-0.22237339596700273</c:v>
                </c:pt>
                <c:pt idx="15">
                  <c:v>-0.4901295745696142</c:v>
                </c:pt>
                <c:pt idx="16">
                  <c:v>5.5249021379102681</c:v>
                </c:pt>
                <c:pt idx="17">
                  <c:v>-0.47309688071230616</c:v>
                </c:pt>
                <c:pt idx="18">
                  <c:v>-0.16958776061635061</c:v>
                </c:pt>
                <c:pt idx="19">
                  <c:v>9.5419309372797689E-2</c:v>
                </c:pt>
                <c:pt idx="20">
                  <c:v>0.17465382299819399</c:v>
                </c:pt>
                <c:pt idx="21">
                  <c:v>2.4028550060156735</c:v>
                </c:pt>
                <c:pt idx="22">
                  <c:v>1.253913043478261</c:v>
                </c:pt>
                <c:pt idx="23">
                  <c:v>-7.9304483253088504E-2</c:v>
                </c:pt>
                <c:pt idx="24">
                  <c:v>1.121799255375731</c:v>
                </c:pt>
                <c:pt idx="25">
                  <c:v>-0.33723492311458797</c:v>
                </c:pt>
                <c:pt idx="26">
                  <c:v>0.72431257712212449</c:v>
                </c:pt>
                <c:pt idx="27">
                  <c:v>-0.30271266486206294</c:v>
                </c:pt>
                <c:pt idx="28">
                  <c:v>-0.75434256917652698</c:v>
                </c:pt>
                <c:pt idx="29">
                  <c:v>-0.61893237836779225</c:v>
                </c:pt>
                <c:pt idx="30">
                  <c:v>0.73057051775310533</c:v>
                </c:pt>
                <c:pt idx="31">
                  <c:v>2.7142305712815236</c:v>
                </c:pt>
                <c:pt idx="32">
                  <c:v>1.1007380452052686</c:v>
                </c:pt>
                <c:pt idx="33">
                  <c:v>-0.50247496368779143</c:v>
                </c:pt>
                <c:pt idx="34">
                  <c:v>2.9672418630751967</c:v>
                </c:pt>
                <c:pt idx="35">
                  <c:v>-0.69428170641142006</c:v>
                </c:pt>
                <c:pt idx="36">
                  <c:v>0.19119068934646369</c:v>
                </c:pt>
                <c:pt idx="37">
                  <c:v>-0.52923482849604209</c:v>
                </c:pt>
                <c:pt idx="38">
                  <c:v>-0.62529238985313762</c:v>
                </c:pt>
                <c:pt idx="39">
                  <c:v>0.19664243825885841</c:v>
                </c:pt>
                <c:pt idx="40">
                  <c:v>0.59674631800420763</c:v>
                </c:pt>
                <c:pt idx="41">
                  <c:v>2.1291068609816084</c:v>
                </c:pt>
                <c:pt idx="42">
                  <c:v>-0.37321984374007494</c:v>
                </c:pt>
                <c:pt idx="43">
                  <c:v>-0.85710326670592718</c:v>
                </c:pt>
              </c:numCache>
            </c:numRef>
          </c:val>
          <c:smooth val="0"/>
          <c:extLst>
            <c:ext xmlns:c16="http://schemas.microsoft.com/office/drawing/2014/chart" uri="{C3380CC4-5D6E-409C-BE32-E72D297353CC}">
              <c16:uniqueId val="{00000005-A9CF-4DC0-B984-93F7AC636EFB}"/>
            </c:ext>
          </c:extLst>
        </c:ser>
        <c:ser>
          <c:idx val="4"/>
          <c:order val="4"/>
          <c:tx>
            <c:strRef>
              <c:f>'Year on Year Growth %'!$G$3:$G$5</c:f>
              <c:strCache>
                <c:ptCount val="1"/>
                <c:pt idx="0">
                  <c:v>Liberica - Year on Year %</c:v>
                </c:pt>
              </c:strCache>
            </c:strRef>
          </c:tx>
          <c:spPr>
            <a:ln w="28575" cap="rnd">
              <a:solidFill>
                <a:schemeClr val="accent5"/>
              </a:solidFill>
              <a:round/>
            </a:ln>
            <a:effectLst/>
          </c:spPr>
          <c:marker>
            <c:symbol val="none"/>
          </c:marker>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%'!$G$6:$G$49</c:f>
              <c:numCache>
                <c:formatCode>0.00%</c:formatCode>
                <c:ptCount val="44"/>
                <c:pt idx="12">
                  <c:v>0.28858603865640858</c:v>
                </c:pt>
                <c:pt idx="13">
                  <c:v>-0.55263339784351673</c:v>
                </c:pt>
                <c:pt idx="14">
                  <c:v>-0.12408111138798913</c:v>
                </c:pt>
                <c:pt idx="15">
                  <c:v>-0.7236113583346605</c:v>
                </c:pt>
                <c:pt idx="16">
                  <c:v>-0.56958237676374224</c:v>
                </c:pt>
                <c:pt idx="17">
                  <c:v>1.077464994592066</c:v>
                </c:pt>
                <c:pt idx="18">
                  <c:v>0.28341389235865988</c:v>
                </c:pt>
                <c:pt idx="19">
                  <c:v>-0.54928108470535653</c:v>
                </c:pt>
                <c:pt idx="20">
                  <c:v>-0.79711365550522406</c:v>
                </c:pt>
                <c:pt idx="21">
                  <c:v>1.0457191899979124</c:v>
                </c:pt>
                <c:pt idx="22">
                  <c:v>-1.0986192450733338E-2</c:v>
                </c:pt>
                <c:pt idx="23">
                  <c:v>-0.49657863787020207</c:v>
                </c:pt>
                <c:pt idx="24">
                  <c:v>1.7639027942113507E-2</c:v>
                </c:pt>
                <c:pt idx="25">
                  <c:v>0.29692287884640162</c:v>
                </c:pt>
                <c:pt idx="26">
                  <c:v>0.44042602371935097</c:v>
                </c:pt>
                <c:pt idx="27">
                  <c:v>2.7616093824147518</c:v>
                </c:pt>
                <c:pt idx="28">
                  <c:v>2.2026848855327814</c:v>
                </c:pt>
                <c:pt idx="29">
                  <c:v>-0.41014239882929021</c:v>
                </c:pt>
                <c:pt idx="30">
                  <c:v>-0.74172185430463577</c:v>
                </c:pt>
                <c:pt idx="31">
                  <c:v>1.075702479338843</c:v>
                </c:pt>
                <c:pt idx="32">
                  <c:v>0.92224840121171314</c:v>
                </c:pt>
                <c:pt idx="33">
                  <c:v>0.32581950948487981</c:v>
                </c:pt>
                <c:pt idx="34">
                  <c:v>0.54970608575380364</c:v>
                </c:pt>
                <c:pt idx="35">
                  <c:v>3.1225443347138149</c:v>
                </c:pt>
                <c:pt idx="36">
                  <c:v>2.0184423297080705</c:v>
                </c:pt>
                <c:pt idx="37">
                  <c:v>-0.63795020450303774</c:v>
                </c:pt>
                <c:pt idx="38">
                  <c:v>0.14184493463850553</c:v>
                </c:pt>
                <c:pt idx="39">
                  <c:v>-0.84042351881054289</c:v>
                </c:pt>
                <c:pt idx="40">
                  <c:v>9.3899700598802524E-2</c:v>
                </c:pt>
                <c:pt idx="41">
                  <c:v>-0.18850190839694667</c:v>
                </c:pt>
                <c:pt idx="42">
                  <c:v>3.4409764888998109</c:v>
                </c:pt>
                <c:pt idx="43">
                  <c:v>-0.87625418060200666</c:v>
                </c:pt>
              </c:numCache>
            </c:numRef>
          </c:val>
          <c:smooth val="0"/>
          <c:extLst>
            <c:ext xmlns:c16="http://schemas.microsoft.com/office/drawing/2014/chart" uri="{C3380CC4-5D6E-409C-BE32-E72D297353CC}">
              <c16:uniqueId val="{00000006-A9CF-4DC0-B984-93F7AC636EFB}"/>
            </c:ext>
          </c:extLst>
        </c:ser>
        <c:ser>
          <c:idx val="6"/>
          <c:order val="6"/>
          <c:tx>
            <c:strRef>
              <c:f>'Year on Year Growth %'!$I$3:$I$5</c:f>
              <c:strCache>
                <c:ptCount val="1"/>
                <c:pt idx="0">
                  <c:v>Robusta - Year on Year %</c:v>
                </c:pt>
              </c:strCache>
            </c:strRef>
          </c:tx>
          <c:spPr>
            <a:ln w="28575" cap="rnd">
              <a:solidFill>
                <a:schemeClr val="accent1">
                  <a:lumMod val="60000"/>
                </a:schemeClr>
              </a:solidFill>
              <a:round/>
            </a:ln>
            <a:effectLst/>
          </c:spPr>
          <c:marker>
            <c:symbol val="none"/>
          </c:marker>
          <c:cat>
            <c:multiLvlStrRef>
              <c:f>'Year on Year Growth %'!$A$6:$B$49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on Year Growth %'!$I$6:$I$49</c:f>
              <c:numCache>
                <c:formatCode>0.00%</c:formatCode>
                <c:ptCount val="44"/>
                <c:pt idx="12">
                  <c:v>0.45707317073170733</c:v>
                </c:pt>
                <c:pt idx="13">
                  <c:v>1.499883680353612</c:v>
                </c:pt>
                <c:pt idx="14">
                  <c:v>0.83782282699250232</c:v>
                </c:pt>
                <c:pt idx="15">
                  <c:v>0.51111111111111107</c:v>
                </c:pt>
                <c:pt idx="16">
                  <c:v>-0.13168724279835395</c:v>
                </c:pt>
                <c:pt idx="17">
                  <c:v>-0.6215497441270097</c:v>
                </c:pt>
                <c:pt idx="18">
                  <c:v>1.061432513735922</c:v>
                </c:pt>
                <c:pt idx="19">
                  <c:v>-0.15994587280108255</c:v>
                </c:pt>
                <c:pt idx="20">
                  <c:v>-0.38596064110367218</c:v>
                </c:pt>
                <c:pt idx="21">
                  <c:v>-0.1834413684974143</c:v>
                </c:pt>
                <c:pt idx="22">
                  <c:v>7.9663917846584636E-2</c:v>
                </c:pt>
                <c:pt idx="23">
                  <c:v>-0.63386200674296023</c:v>
                </c:pt>
                <c:pt idx="24">
                  <c:v>-0.10615444704832053</c:v>
                </c:pt>
                <c:pt idx="25">
                  <c:v>-0.81260033036316681</c:v>
                </c:pt>
                <c:pt idx="26">
                  <c:v>9.2928377153218264E-2</c:v>
                </c:pt>
                <c:pt idx="27">
                  <c:v>-0.5574070988168639</c:v>
                </c:pt>
                <c:pt idx="28">
                  <c:v>3.6156059580230195</c:v>
                </c:pt>
                <c:pt idx="29">
                  <c:v>-0.37297700170357756</c:v>
                </c:pt>
                <c:pt idx="30">
                  <c:v>-0.51882002484412115</c:v>
                </c:pt>
                <c:pt idx="31">
                  <c:v>1.6785151775486831</c:v>
                </c:pt>
                <c:pt idx="32">
                  <c:v>-0.26835392850062778</c:v>
                </c:pt>
                <c:pt idx="33">
                  <c:v>0.46939301885711043</c:v>
                </c:pt>
                <c:pt idx="34">
                  <c:v>0.82038718355190476</c:v>
                </c:pt>
                <c:pt idx="35">
                  <c:v>1.7504701381233385</c:v>
                </c:pt>
                <c:pt idx="36">
                  <c:v>-8.4334717063578715E-2</c:v>
                </c:pt>
                <c:pt idx="37">
                  <c:v>-0.33258845437616408</c:v>
                </c:pt>
                <c:pt idx="38">
                  <c:v>0.57818332642057246</c:v>
                </c:pt>
                <c:pt idx="39">
                  <c:v>0.88493034638554224</c:v>
                </c:pt>
                <c:pt idx="40">
                  <c:v>0.11654259415453459</c:v>
                </c:pt>
                <c:pt idx="41">
                  <c:v>3.2939944529348506</c:v>
                </c:pt>
                <c:pt idx="42">
                  <c:v>-0.28968870620081205</c:v>
                </c:pt>
                <c:pt idx="43">
                  <c:v>-0.81006855814077805</c:v>
                </c:pt>
              </c:numCache>
            </c:numRef>
          </c:val>
          <c:smooth val="0"/>
          <c:extLst>
            <c:ext xmlns:c16="http://schemas.microsoft.com/office/drawing/2014/chart" uri="{C3380CC4-5D6E-409C-BE32-E72D297353CC}">
              <c16:uniqueId val="{00000007-A9CF-4DC0-B984-93F7AC636EFB}"/>
            </c:ext>
          </c:extLst>
        </c:ser>
        <c:dLbls>
          <c:showLegendKey val="0"/>
          <c:showVal val="0"/>
          <c:showCatName val="0"/>
          <c:showSerName val="0"/>
          <c:showPercent val="0"/>
          <c:showBubbleSize val="0"/>
        </c:dLbls>
        <c:marker val="1"/>
        <c:smooth val="0"/>
        <c:axId val="481177359"/>
        <c:axId val="481177839"/>
      </c:lineChart>
      <c:catAx>
        <c:axId val="48116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62479"/>
        <c:crosses val="autoZero"/>
        <c:auto val="1"/>
        <c:lblAlgn val="ctr"/>
        <c:lblOffset val="100"/>
        <c:noMultiLvlLbl val="0"/>
      </c:catAx>
      <c:valAx>
        <c:axId val="48116247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61999"/>
        <c:crosses val="autoZero"/>
        <c:crossBetween val="between"/>
      </c:valAx>
      <c:valAx>
        <c:axId val="48117783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77359"/>
        <c:crosses val="max"/>
        <c:crossBetween val="between"/>
      </c:valAx>
      <c:catAx>
        <c:axId val="481177359"/>
        <c:scaling>
          <c:orientation val="minMax"/>
        </c:scaling>
        <c:delete val="1"/>
        <c:axPos val="b"/>
        <c:numFmt formatCode="General" sourceLinked="1"/>
        <c:majorTickMark val="out"/>
        <c:minorTickMark val="none"/>
        <c:tickLblPos val="nextTo"/>
        <c:crossAx val="4811778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[coffeeOrdersProject.xlsx]Year to Date!TotalSales</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to Date'!$C$3:$C$5</c:f>
              <c:strCache>
                <c:ptCount val="1"/>
                <c:pt idx="0">
                  <c:v>Arabica - Sum of Sales</c:v>
                </c:pt>
              </c:strCache>
            </c:strRef>
          </c:tx>
          <c:spPr>
            <a:solidFill>
              <a:schemeClr val="accent1"/>
            </a:solidFill>
            <a:ln>
              <a:noFill/>
            </a:ln>
            <a:effectLst/>
          </c:spPr>
          <c:invertIfNegative val="0"/>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Date'!$C$6:$C$49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D102-4994-AD15-91CCBBC24FC1}"/>
            </c:ext>
          </c:extLst>
        </c:ser>
        <c:ser>
          <c:idx val="2"/>
          <c:order val="2"/>
          <c:tx>
            <c:strRef>
              <c:f>'Year to Date'!$E$3:$E$5</c:f>
              <c:strCache>
                <c:ptCount val="1"/>
                <c:pt idx="0">
                  <c:v>Excelsa - Sum of Sales</c:v>
                </c:pt>
              </c:strCache>
            </c:strRef>
          </c:tx>
          <c:spPr>
            <a:solidFill>
              <a:schemeClr val="accent3"/>
            </a:solidFill>
            <a:ln>
              <a:noFill/>
            </a:ln>
            <a:effectLst/>
          </c:spPr>
          <c:invertIfNegative val="0"/>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Date'!$E$6:$E$49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1-D102-4994-AD15-91CCBBC24FC1}"/>
            </c:ext>
          </c:extLst>
        </c:ser>
        <c:ser>
          <c:idx val="4"/>
          <c:order val="4"/>
          <c:tx>
            <c:strRef>
              <c:f>'Year to Date'!$G$3:$G$5</c:f>
              <c:strCache>
                <c:ptCount val="1"/>
                <c:pt idx="0">
                  <c:v>Liberica - Sum of Sales</c:v>
                </c:pt>
              </c:strCache>
            </c:strRef>
          </c:tx>
          <c:spPr>
            <a:solidFill>
              <a:schemeClr val="accent5"/>
            </a:solidFill>
            <a:ln>
              <a:noFill/>
            </a:ln>
            <a:effectLst/>
          </c:spPr>
          <c:invertIfNegative val="0"/>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Date'!$G$6:$G$49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02-D102-4994-AD15-91CCBBC24FC1}"/>
            </c:ext>
          </c:extLst>
        </c:ser>
        <c:ser>
          <c:idx val="6"/>
          <c:order val="6"/>
          <c:tx>
            <c:strRef>
              <c:f>'Year to Date'!$I$3:$I$5</c:f>
              <c:strCache>
                <c:ptCount val="1"/>
                <c:pt idx="0">
                  <c:v>Robusta - Sum of Sales</c:v>
                </c:pt>
              </c:strCache>
            </c:strRef>
          </c:tx>
          <c:spPr>
            <a:solidFill>
              <a:schemeClr val="accent1">
                <a:lumMod val="60000"/>
              </a:schemeClr>
            </a:solidFill>
            <a:ln>
              <a:noFill/>
            </a:ln>
            <a:effectLst/>
          </c:spPr>
          <c:invertIfNegative val="0"/>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Date'!$I$6:$I$49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03-D102-4994-AD15-91CCBBC24FC1}"/>
            </c:ext>
          </c:extLst>
        </c:ser>
        <c:dLbls>
          <c:showLegendKey val="0"/>
          <c:showVal val="0"/>
          <c:showCatName val="0"/>
          <c:showSerName val="0"/>
          <c:showPercent val="0"/>
          <c:showBubbleSize val="0"/>
        </c:dLbls>
        <c:gapWidth val="219"/>
        <c:axId val="725153951"/>
        <c:axId val="725146271"/>
      </c:barChart>
      <c:lineChart>
        <c:grouping val="standard"/>
        <c:varyColors val="0"/>
        <c:ser>
          <c:idx val="1"/>
          <c:order val="1"/>
          <c:tx>
            <c:strRef>
              <c:f>'Year to Date'!$D$3:$D$5</c:f>
              <c:strCache>
                <c:ptCount val="1"/>
                <c:pt idx="0">
                  <c:v>Arabica - cumulative sum</c:v>
                </c:pt>
              </c:strCache>
            </c:strRef>
          </c:tx>
          <c:spPr>
            <a:ln w="28575" cap="rnd">
              <a:solidFill>
                <a:schemeClr val="accent2"/>
              </a:solidFill>
              <a:round/>
            </a:ln>
            <a:effectLst/>
          </c:spPr>
          <c:marker>
            <c:symbol val="none"/>
          </c:marker>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Date'!$D$6:$D$49</c:f>
              <c:numCache>
                <c:formatCode>_-[$$-409]* #,##0.00_ ;_-[$$-409]* \-#,##0.00\ ;_-[$$-409]* "-"??_ ;_-@_ </c:formatCode>
                <c:ptCount val="44"/>
                <c:pt idx="0">
                  <c:v>186.85499999999999</c:v>
                </c:pt>
                <c:pt idx="1">
                  <c:v>438.81999999999994</c:v>
                </c:pt>
                <c:pt idx="2">
                  <c:v>663.76499999999987</c:v>
                </c:pt>
                <c:pt idx="3">
                  <c:v>970.88499999999988</c:v>
                </c:pt>
                <c:pt idx="4">
                  <c:v>1024.55</c:v>
                </c:pt>
                <c:pt idx="5">
                  <c:v>1187.57</c:v>
                </c:pt>
                <c:pt idx="6">
                  <c:v>1532.59</c:v>
                </c:pt>
                <c:pt idx="7">
                  <c:v>1867.48</c:v>
                </c:pt>
                <c:pt idx="8">
                  <c:v>2046.19</c:v>
                </c:pt>
                <c:pt idx="9">
                  <c:v>2348.1750000000002</c:v>
                </c:pt>
                <c:pt idx="10">
                  <c:v>2661.01</c:v>
                </c:pt>
                <c:pt idx="11">
                  <c:v>2926.63</c:v>
                </c:pt>
                <c:pt idx="12">
                  <c:v>47.25</c:v>
                </c:pt>
                <c:pt idx="13">
                  <c:v>792.69999999999993</c:v>
                </c:pt>
                <c:pt idx="14">
                  <c:v>923.17</c:v>
                </c:pt>
                <c:pt idx="15">
                  <c:v>950.17</c:v>
                </c:pt>
                <c:pt idx="16">
                  <c:v>1205.2849999999999</c:v>
                </c:pt>
                <c:pt idx="17">
                  <c:v>1790.0749999999998</c:v>
                </c:pt>
                <c:pt idx="18">
                  <c:v>2220.6949999999997</c:v>
                </c:pt>
                <c:pt idx="19">
                  <c:v>2243.1949999999997</c:v>
                </c:pt>
                <c:pt idx="20">
                  <c:v>2369.3449999999998</c:v>
                </c:pt>
                <c:pt idx="21">
                  <c:v>2745.375</c:v>
                </c:pt>
                <c:pt idx="22">
                  <c:v>3260.5549999999998</c:v>
                </c:pt>
                <c:pt idx="23">
                  <c:v>3356.415</c:v>
                </c:pt>
                <c:pt idx="24">
                  <c:v>258.34500000000003</c:v>
                </c:pt>
                <c:pt idx="25">
                  <c:v>600.54500000000007</c:v>
                </c:pt>
                <c:pt idx="26">
                  <c:v>1018.8499999999999</c:v>
                </c:pt>
                <c:pt idx="27">
                  <c:v>1121.1799999999998</c:v>
                </c:pt>
                <c:pt idx="28">
                  <c:v>1355.8999999999999</c:v>
                </c:pt>
                <c:pt idx="29">
                  <c:v>1786.29</c:v>
                </c:pt>
                <c:pt idx="30">
                  <c:v>1895.2950000000001</c:v>
                </c:pt>
                <c:pt idx="31">
                  <c:v>2182.8200000000002</c:v>
                </c:pt>
                <c:pt idx="32">
                  <c:v>3023.75</c:v>
                </c:pt>
                <c:pt idx="33">
                  <c:v>3322.82</c:v>
                </c:pt>
                <c:pt idx="34">
                  <c:v>3646.145</c:v>
                </c:pt>
                <c:pt idx="35">
                  <c:v>4045.63</c:v>
                </c:pt>
                <c:pt idx="36">
                  <c:v>112.69499999999999</c:v>
                </c:pt>
                <c:pt idx="37">
                  <c:v>227.57499999999999</c:v>
                </c:pt>
                <c:pt idx="38">
                  <c:v>505.33499999999998</c:v>
                </c:pt>
                <c:pt idx="39">
                  <c:v>703.23</c:v>
                </c:pt>
                <c:pt idx="40">
                  <c:v>896.34500000000003</c:v>
                </c:pt>
                <c:pt idx="41">
                  <c:v>1076.135</c:v>
                </c:pt>
                <c:pt idx="42">
                  <c:v>1323.425</c:v>
                </c:pt>
                <c:pt idx="43">
                  <c:v>1439.82</c:v>
                </c:pt>
              </c:numCache>
            </c:numRef>
          </c:val>
          <c:smooth val="0"/>
          <c:extLst>
            <c:ext xmlns:c16="http://schemas.microsoft.com/office/drawing/2014/chart" uri="{C3380CC4-5D6E-409C-BE32-E72D297353CC}">
              <c16:uniqueId val="{00000004-D102-4994-AD15-91CCBBC24FC1}"/>
            </c:ext>
          </c:extLst>
        </c:ser>
        <c:ser>
          <c:idx val="3"/>
          <c:order val="3"/>
          <c:tx>
            <c:strRef>
              <c:f>'Year to Date'!$F$3:$F$5</c:f>
              <c:strCache>
                <c:ptCount val="1"/>
                <c:pt idx="0">
                  <c:v>Excelsa - cumulative sum</c:v>
                </c:pt>
              </c:strCache>
            </c:strRef>
          </c:tx>
          <c:spPr>
            <a:ln w="28575" cap="rnd">
              <a:solidFill>
                <a:schemeClr val="accent4"/>
              </a:solidFill>
              <a:round/>
            </a:ln>
            <a:effectLst/>
          </c:spPr>
          <c:marker>
            <c:symbol val="none"/>
          </c:marker>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Date'!$F$6:$F$49</c:f>
              <c:numCache>
                <c:formatCode>_-[$$-409]* #,##0.00_ ;_-[$$-409]* \-#,##0.00\ ;_-[$$-409]* "-"??_ ;_-@_ </c:formatCode>
                <c:ptCount val="44"/>
                <c:pt idx="0">
                  <c:v>305.97000000000003</c:v>
                </c:pt>
                <c:pt idx="1">
                  <c:v>435.43000000000006</c:v>
                </c:pt>
                <c:pt idx="2">
                  <c:v>784.55000000000007</c:v>
                </c:pt>
                <c:pt idx="3">
                  <c:v>1465.625</c:v>
                </c:pt>
                <c:pt idx="4">
                  <c:v>1548.65</c:v>
                </c:pt>
                <c:pt idx="5">
                  <c:v>2227.0100000000002</c:v>
                </c:pt>
                <c:pt idx="6">
                  <c:v>2500.88</c:v>
                </c:pt>
                <c:pt idx="7">
                  <c:v>2571.83</c:v>
                </c:pt>
                <c:pt idx="8">
                  <c:v>2737.93</c:v>
                </c:pt>
                <c:pt idx="9">
                  <c:v>2891.6949999999997</c:v>
                </c:pt>
                <c:pt idx="10">
                  <c:v>2954.9449999999997</c:v>
                </c:pt>
                <c:pt idx="11">
                  <c:v>3481.4599999999996</c:v>
                </c:pt>
                <c:pt idx="12">
                  <c:v>65.805000000000007</c:v>
                </c:pt>
                <c:pt idx="13">
                  <c:v>494.69</c:v>
                </c:pt>
                <c:pt idx="14">
                  <c:v>766.17499999999995</c:v>
                </c:pt>
                <c:pt idx="15">
                  <c:v>1113.4349999999999</c:v>
                </c:pt>
                <c:pt idx="16">
                  <c:v>1655.165</c:v>
                </c:pt>
                <c:pt idx="17">
                  <c:v>2012.5949999999998</c:v>
                </c:pt>
                <c:pt idx="18">
                  <c:v>2240.02</c:v>
                </c:pt>
                <c:pt idx="19">
                  <c:v>2317.7399999999998</c:v>
                </c:pt>
                <c:pt idx="20">
                  <c:v>2512.85</c:v>
                </c:pt>
                <c:pt idx="21">
                  <c:v>3036.09</c:v>
                </c:pt>
                <c:pt idx="22">
                  <c:v>3178.65</c:v>
                </c:pt>
                <c:pt idx="23">
                  <c:v>3663.41</c:v>
                </c:pt>
                <c:pt idx="24">
                  <c:v>139.625</c:v>
                </c:pt>
                <c:pt idx="25">
                  <c:v>423.87499999999994</c:v>
                </c:pt>
                <c:pt idx="26">
                  <c:v>892</c:v>
                </c:pt>
                <c:pt idx="27">
                  <c:v>1134.1400000000001</c:v>
                </c:pt>
                <c:pt idx="28">
                  <c:v>1267.22</c:v>
                </c:pt>
                <c:pt idx="29">
                  <c:v>1403.425</c:v>
                </c:pt>
                <c:pt idx="30">
                  <c:v>1797</c:v>
                </c:pt>
                <c:pt idx="31">
                  <c:v>2085.67</c:v>
                </c:pt>
                <c:pt idx="32">
                  <c:v>2495.5450000000001</c:v>
                </c:pt>
                <c:pt idx="33">
                  <c:v>2755.87</c:v>
                </c:pt>
                <c:pt idx="34">
                  <c:v>3321.44</c:v>
                </c:pt>
                <c:pt idx="35">
                  <c:v>3469.64</c:v>
                </c:pt>
                <c:pt idx="36">
                  <c:v>166.32</c:v>
                </c:pt>
                <c:pt idx="37">
                  <c:v>300.13499999999999</c:v>
                </c:pt>
                <c:pt idx="38">
                  <c:v>475.54499999999996</c:v>
                </c:pt>
                <c:pt idx="39">
                  <c:v>765.3</c:v>
                </c:pt>
                <c:pt idx="40">
                  <c:v>977.79499999999996</c:v>
                </c:pt>
                <c:pt idx="41">
                  <c:v>1403.9949999999999</c:v>
                </c:pt>
                <c:pt idx="42">
                  <c:v>1650.6799999999998</c:v>
                </c:pt>
                <c:pt idx="43">
                  <c:v>1691.9299999999998</c:v>
                </c:pt>
              </c:numCache>
            </c:numRef>
          </c:val>
          <c:smooth val="0"/>
          <c:extLst>
            <c:ext xmlns:c16="http://schemas.microsoft.com/office/drawing/2014/chart" uri="{C3380CC4-5D6E-409C-BE32-E72D297353CC}">
              <c16:uniqueId val="{00000005-D102-4994-AD15-91CCBBC24FC1}"/>
            </c:ext>
          </c:extLst>
        </c:ser>
        <c:ser>
          <c:idx val="5"/>
          <c:order val="5"/>
          <c:tx>
            <c:strRef>
              <c:f>'Year to Date'!$H$3:$H$5</c:f>
              <c:strCache>
                <c:ptCount val="1"/>
                <c:pt idx="0">
                  <c:v>Liberica - cumulative sum</c:v>
                </c:pt>
              </c:strCache>
            </c:strRef>
          </c:tx>
          <c:spPr>
            <a:ln w="28575" cap="rnd">
              <a:solidFill>
                <a:schemeClr val="accent6"/>
              </a:solidFill>
              <a:round/>
            </a:ln>
            <a:effectLst/>
          </c:spPr>
          <c:marker>
            <c:symbol val="none"/>
          </c:marker>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Date'!$H$6:$H$49</c:f>
              <c:numCache>
                <c:formatCode>_-[$$-409]* #,##0.00_ ;_-[$$-409]* \-#,##0.00\ ;_-[$$-409]* "-"??_ ;_-@_ </c:formatCode>
                <c:ptCount val="44"/>
                <c:pt idx="0">
                  <c:v>213.15999999999997</c:v>
                </c:pt>
                <c:pt idx="1">
                  <c:v>647.19999999999993</c:v>
                </c:pt>
                <c:pt idx="2">
                  <c:v>968.24</c:v>
                </c:pt>
                <c:pt idx="3">
                  <c:v>1501.9449999999999</c:v>
                </c:pt>
                <c:pt idx="4">
                  <c:v>1695.78</c:v>
                </c:pt>
                <c:pt idx="5">
                  <c:v>1866.825</c:v>
                </c:pt>
                <c:pt idx="6">
                  <c:v>2050.9549999999999</c:v>
                </c:pt>
                <c:pt idx="7">
                  <c:v>2185.1849999999999</c:v>
                </c:pt>
                <c:pt idx="8">
                  <c:v>2624.4949999999999</c:v>
                </c:pt>
                <c:pt idx="9">
                  <c:v>2840.0499999999997</c:v>
                </c:pt>
                <c:pt idx="10">
                  <c:v>3190.9449999999997</c:v>
                </c:pt>
                <c:pt idx="11">
                  <c:v>3378.0049999999997</c:v>
                </c:pt>
                <c:pt idx="12">
                  <c:v>274.67500000000001</c:v>
                </c:pt>
                <c:pt idx="13">
                  <c:v>468.85</c:v>
                </c:pt>
                <c:pt idx="14">
                  <c:v>750.05500000000006</c:v>
                </c:pt>
                <c:pt idx="15">
                  <c:v>897.56500000000005</c:v>
                </c:pt>
                <c:pt idx="16">
                  <c:v>980.99500000000012</c:v>
                </c:pt>
                <c:pt idx="17">
                  <c:v>1336.335</c:v>
                </c:pt>
                <c:pt idx="18">
                  <c:v>1572.65</c:v>
                </c:pt>
                <c:pt idx="19">
                  <c:v>1633.15</c:v>
                </c:pt>
                <c:pt idx="20">
                  <c:v>1722.2800000000002</c:v>
                </c:pt>
                <c:pt idx="21">
                  <c:v>2163.2450000000003</c:v>
                </c:pt>
                <c:pt idx="22">
                  <c:v>2510.2850000000003</c:v>
                </c:pt>
                <c:pt idx="23">
                  <c:v>2604.4550000000004</c:v>
                </c:pt>
                <c:pt idx="24">
                  <c:v>279.52000000000004</c:v>
                </c:pt>
                <c:pt idx="25">
                  <c:v>531.35</c:v>
                </c:pt>
                <c:pt idx="26">
                  <c:v>936.40500000000009</c:v>
                </c:pt>
                <c:pt idx="27">
                  <c:v>1491.2800000000002</c:v>
                </c:pt>
                <c:pt idx="28">
                  <c:v>1758.4800000000002</c:v>
                </c:pt>
                <c:pt idx="29">
                  <c:v>1968.0800000000002</c:v>
                </c:pt>
                <c:pt idx="30">
                  <c:v>2029.1150000000002</c:v>
                </c:pt>
                <c:pt idx="31">
                  <c:v>2154.6950000000002</c:v>
                </c:pt>
                <c:pt idx="32">
                  <c:v>2326.0250000000001</c:v>
                </c:pt>
                <c:pt idx="33">
                  <c:v>2910.665</c:v>
                </c:pt>
                <c:pt idx="34">
                  <c:v>3448.4749999999999</c:v>
                </c:pt>
                <c:pt idx="35">
                  <c:v>3836.6949999999997</c:v>
                </c:pt>
                <c:pt idx="36">
                  <c:v>843.71499999999992</c:v>
                </c:pt>
                <c:pt idx="37">
                  <c:v>934.88999999999987</c:v>
                </c:pt>
                <c:pt idx="38">
                  <c:v>1397.3999999999999</c:v>
                </c:pt>
                <c:pt idx="39">
                  <c:v>1485.9449999999999</c:v>
                </c:pt>
                <c:pt idx="40">
                  <c:v>1778.2349999999999</c:v>
                </c:pt>
                <c:pt idx="41">
                  <c:v>1948.3249999999998</c:v>
                </c:pt>
                <c:pt idx="42">
                  <c:v>2219.3799999999997</c:v>
                </c:pt>
                <c:pt idx="43">
                  <c:v>2234.9199999999996</c:v>
                </c:pt>
              </c:numCache>
            </c:numRef>
          </c:val>
          <c:smooth val="0"/>
          <c:extLst>
            <c:ext xmlns:c16="http://schemas.microsoft.com/office/drawing/2014/chart" uri="{C3380CC4-5D6E-409C-BE32-E72D297353CC}">
              <c16:uniqueId val="{00000006-D102-4994-AD15-91CCBBC24FC1}"/>
            </c:ext>
          </c:extLst>
        </c:ser>
        <c:ser>
          <c:idx val="7"/>
          <c:order val="7"/>
          <c:tx>
            <c:strRef>
              <c:f>'Year to Date'!$J$3:$J$5</c:f>
              <c:strCache>
                <c:ptCount val="1"/>
                <c:pt idx="0">
                  <c:v>Robusta - cumulative sum</c:v>
                </c:pt>
              </c:strCache>
            </c:strRef>
          </c:tx>
          <c:spPr>
            <a:ln w="28575" cap="rnd">
              <a:solidFill>
                <a:schemeClr val="accent2">
                  <a:lumMod val="60000"/>
                </a:schemeClr>
              </a:solidFill>
              <a:round/>
            </a:ln>
            <a:effectLst/>
          </c:spPr>
          <c:marker>
            <c:symbol val="none"/>
          </c:marker>
          <c:cat>
            <c:multiLvlStrRef>
              <c:f>'Year to Date'!$A$6:$B$49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'Year to Date'!$J$6:$J$49</c:f>
              <c:numCache>
                <c:formatCode>_-[$$-409]* #,##0.00_ ;_-[$$-409]* \-#,##0.00\ ;_-[$$-409]* "-"??_ ;_-@_ </c:formatCode>
                <c:ptCount val="44"/>
                <c:pt idx="0">
                  <c:v>123</c:v>
                </c:pt>
                <c:pt idx="1">
                  <c:v>294.93999999999994</c:v>
                </c:pt>
                <c:pt idx="2">
                  <c:v>420.97499999999991</c:v>
                </c:pt>
                <c:pt idx="3">
                  <c:v>579.82499999999993</c:v>
                </c:pt>
                <c:pt idx="4">
                  <c:v>647.8649999999999</c:v>
                </c:pt>
                <c:pt idx="5">
                  <c:v>1020.1199999999999</c:v>
                </c:pt>
                <c:pt idx="6">
                  <c:v>1221.2349999999999</c:v>
                </c:pt>
                <c:pt idx="7">
                  <c:v>1387.5099999999998</c:v>
                </c:pt>
                <c:pt idx="8">
                  <c:v>1880.4099999999999</c:v>
                </c:pt>
                <c:pt idx="9">
                  <c:v>2094.0749999999998</c:v>
                </c:pt>
                <c:pt idx="10">
                  <c:v>2190.48</c:v>
                </c:pt>
                <c:pt idx="11">
                  <c:v>2401.0700000000002</c:v>
                </c:pt>
                <c:pt idx="12">
                  <c:v>179.22</c:v>
                </c:pt>
                <c:pt idx="13">
                  <c:v>609.04999999999995</c:v>
                </c:pt>
                <c:pt idx="14">
                  <c:v>840.68</c:v>
                </c:pt>
                <c:pt idx="15">
                  <c:v>1080.72</c:v>
                </c:pt>
                <c:pt idx="16">
                  <c:v>1139.8</c:v>
                </c:pt>
                <c:pt idx="17">
                  <c:v>1280.6799999999998</c:v>
                </c:pt>
                <c:pt idx="18">
                  <c:v>1695.2649999999999</c:v>
                </c:pt>
                <c:pt idx="19">
                  <c:v>1834.9449999999999</c:v>
                </c:pt>
                <c:pt idx="20">
                  <c:v>2137.605</c:v>
                </c:pt>
                <c:pt idx="21">
                  <c:v>2312.0749999999998</c:v>
                </c:pt>
                <c:pt idx="22">
                  <c:v>2416.16</c:v>
                </c:pt>
                <c:pt idx="23">
                  <c:v>2493.2649999999999</c:v>
                </c:pt>
                <c:pt idx="24">
                  <c:v>160.19499999999999</c:v>
                </c:pt>
                <c:pt idx="25">
                  <c:v>240.745</c:v>
                </c:pt>
                <c:pt idx="26">
                  <c:v>493.9</c:v>
                </c:pt>
                <c:pt idx="27">
                  <c:v>600.14</c:v>
                </c:pt>
                <c:pt idx="28">
                  <c:v>872.82999999999993</c:v>
                </c:pt>
                <c:pt idx="29">
                  <c:v>961.16499999999996</c:v>
                </c:pt>
                <c:pt idx="30">
                  <c:v>1160.655</c:v>
                </c:pt>
                <c:pt idx="31">
                  <c:v>1534.79</c:v>
                </c:pt>
                <c:pt idx="32">
                  <c:v>1756.23</c:v>
                </c:pt>
                <c:pt idx="33">
                  <c:v>2012.595</c:v>
                </c:pt>
                <c:pt idx="34">
                  <c:v>2202.0700000000002</c:v>
                </c:pt>
                <c:pt idx="35">
                  <c:v>2414.145</c:v>
                </c:pt>
                <c:pt idx="36">
                  <c:v>146.685</c:v>
                </c:pt>
                <c:pt idx="37">
                  <c:v>200.44499999999999</c:v>
                </c:pt>
                <c:pt idx="38">
                  <c:v>599.97</c:v>
                </c:pt>
                <c:pt idx="39">
                  <c:v>800.22500000000002</c:v>
                </c:pt>
                <c:pt idx="40">
                  <c:v>1104.6949999999999</c:v>
                </c:pt>
                <c:pt idx="41">
                  <c:v>1484.0049999999999</c:v>
                </c:pt>
                <c:pt idx="42">
                  <c:v>1625.7049999999999</c:v>
                </c:pt>
                <c:pt idx="43">
                  <c:v>1696.7649999999999</c:v>
                </c:pt>
              </c:numCache>
            </c:numRef>
          </c:val>
          <c:smooth val="0"/>
          <c:extLst>
            <c:ext xmlns:c16="http://schemas.microsoft.com/office/drawing/2014/chart" uri="{C3380CC4-5D6E-409C-BE32-E72D297353CC}">
              <c16:uniqueId val="{00000007-D102-4994-AD15-91CCBBC24FC1}"/>
            </c:ext>
          </c:extLst>
        </c:ser>
        <c:dLbls>
          <c:showLegendKey val="0"/>
          <c:showVal val="0"/>
          <c:showCatName val="0"/>
          <c:showSerName val="0"/>
          <c:showPercent val="0"/>
          <c:showBubbleSize val="0"/>
        </c:dLbls>
        <c:marker val="1"/>
        <c:smooth val="0"/>
        <c:axId val="725148191"/>
        <c:axId val="725153471"/>
      </c:lineChart>
      <c:catAx>
        <c:axId val="72515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46271"/>
        <c:crosses val="autoZero"/>
        <c:auto val="1"/>
        <c:lblAlgn val="ctr"/>
        <c:lblOffset val="100"/>
        <c:noMultiLvlLbl val="0"/>
      </c:catAx>
      <c:valAx>
        <c:axId val="725146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53951"/>
        <c:crosses val="autoZero"/>
        <c:crossBetween val="between"/>
      </c:valAx>
      <c:valAx>
        <c:axId val="725153471"/>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148191"/>
        <c:crosses val="max"/>
        <c:crossBetween val="between"/>
      </c:valAx>
      <c:catAx>
        <c:axId val="725148191"/>
        <c:scaling>
          <c:orientation val="minMax"/>
        </c:scaling>
        <c:delete val="1"/>
        <c:axPos val="b"/>
        <c:numFmt formatCode="General" sourceLinked="1"/>
        <c:majorTickMark val="out"/>
        <c:minorTickMark val="none"/>
        <c:tickLblPos val="nextTo"/>
        <c:crossAx val="7251534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[coffeeOrdersProject.xlsx]Market share by coffee type!TotalSales</c:name>
    <c:fmtId val="1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1750881316098707E-2"/>
              <c:y val="4.924831518921721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5.0920485703094397E-2"/>
              <c:y val="8.035251425609132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4.1128084606345476E-2"/>
              <c:y val="-7.7760497667185074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5.4837446141793929E-2"/>
              <c:y val="-5.4432348367029551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layout>
            <c:manualLayout>
              <c:x val="-1.9584802193497883E-2"/>
              <c:y val="-1.555209953343701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2"/>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1.9584802193497847E-3"/>
              <c:y val="-4.66562986003111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2.5460242851547164E-2"/>
              <c:y val="-2.592016588906169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1750881316098707E-2"/>
              <c:y val="4.924831518921721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5460242851547164E-2"/>
              <c:y val="-2.592016588906169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9584802193497847E-3"/>
              <c:y val="-4.66562986003111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1128084606345476E-2"/>
              <c:y val="-7.7760497667185074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0920485703094397E-2"/>
              <c:y val="8.035251425609132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9584802193497883E-2"/>
              <c:y val="-1.555209953343701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837446141793929E-2"/>
              <c:y val="-5.4432348367029551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1750881316098707E-2"/>
              <c:y val="4.9248315189217212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5460242851547164E-2"/>
              <c:y val="-2.592016588906169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9584802193497847E-3"/>
              <c:y val="-4.66562986003111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1128084606345476E-2"/>
              <c:y val="-7.7760497667185074E-3"/>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0920485703094397E-2"/>
              <c:y val="8.035251425609132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9584802193497883E-2"/>
              <c:y val="-1.555209953343701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5.4837446141793929E-2"/>
              <c:y val="-5.4432348367029551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s>
    <c:plotArea>
      <c:layout/>
      <c:doughnutChart>
        <c:varyColors val="1"/>
        <c:ser>
          <c:idx val="0"/>
          <c:order val="0"/>
          <c:tx>
            <c:strRef>
              <c:f>'Market share by coffee type'!$B$3:$B$4</c:f>
              <c:strCache>
                <c:ptCount val="1"/>
                <c:pt idx="0">
                  <c:v>Arabica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5DB-4E36-A8C2-0740FA53412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5DB-4E36-A8C2-0740FA53412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5DB-4E36-A8C2-0740FA53412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5DB-4E36-A8C2-0740FA534128}"/>
              </c:ext>
            </c:extLst>
          </c:dPt>
          <c:dLbls>
            <c:dLbl>
              <c:idx val="0"/>
              <c:layout>
                <c:manualLayout>
                  <c:x val="1.1750881316098707E-2"/>
                  <c:y val="4.9248315189217212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1-B5DB-4E36-A8C2-0740FA534128}"/>
                </c:ext>
              </c:extLst>
            </c:dLbl>
            <c:dLbl>
              <c:idx val="2"/>
              <c:layout>
                <c:manualLayout>
                  <c:x val="2.5460242851547164E-2"/>
                  <c:y val="-2.592016588906169E-3"/>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5-B5DB-4E36-A8C2-0740FA534128}"/>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extLst>
          </c:dLbls>
          <c:cat>
            <c:strRef>
              <c:f>'Market share by coffee type'!$A$5:$A$8</c:f>
              <c:strCache>
                <c:ptCount val="4"/>
                <c:pt idx="0">
                  <c:v>2019</c:v>
                </c:pt>
                <c:pt idx="1">
                  <c:v>2020</c:v>
                </c:pt>
                <c:pt idx="2">
                  <c:v>2021</c:v>
                </c:pt>
                <c:pt idx="3">
                  <c:v>2022</c:v>
                </c:pt>
              </c:strCache>
            </c:strRef>
          </c:cat>
          <c:val>
            <c:numRef>
              <c:f>'Market share by coffee type'!$B$5:$B$8</c:f>
              <c:numCache>
                <c:formatCode>0.00%</c:formatCode>
                <c:ptCount val="4"/>
                <c:pt idx="0">
                  <c:v>6.484276742797683E-2</c:v>
                </c:pt>
                <c:pt idx="1">
                  <c:v>7.4365135748889616E-2</c:v>
                </c:pt>
                <c:pt idx="2">
                  <c:v>8.9635466454470097E-2</c:v>
                </c:pt>
                <c:pt idx="3">
                  <c:v>3.1900825658914722E-2</c:v>
                </c:pt>
              </c:numCache>
            </c:numRef>
          </c:val>
          <c:extLst>
            <c:ext xmlns:c16="http://schemas.microsoft.com/office/drawing/2014/chart" uri="{C3380CC4-5D6E-409C-BE32-E72D297353CC}">
              <c16:uniqueId val="{00000008-B5DB-4E36-A8C2-0740FA534128}"/>
            </c:ext>
          </c:extLst>
        </c:ser>
        <c:ser>
          <c:idx val="1"/>
          <c:order val="1"/>
          <c:tx>
            <c:strRef>
              <c:f>'Market share by coffee type'!$C$3:$C$4</c:f>
              <c:strCache>
                <c:ptCount val="1"/>
                <c:pt idx="0">
                  <c:v>Excelsa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B5DB-4E36-A8C2-0740FA53412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B5DB-4E36-A8C2-0740FA53412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B5DB-4E36-A8C2-0740FA53412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B5DB-4E36-A8C2-0740FA534128}"/>
              </c:ext>
            </c:extLst>
          </c:dPt>
          <c:dLbls>
            <c:dLbl>
              <c:idx val="2"/>
              <c:layout>
                <c:manualLayout>
                  <c:x val="1.9584802193497847E-3"/>
                  <c:y val="-4.665629860031114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E-B5DB-4E36-A8C2-0740FA534128}"/>
                </c:ext>
              </c:extLst>
            </c:dLbl>
            <c:dLbl>
              <c:idx val="3"/>
              <c:layout>
                <c:manualLayout>
                  <c:x val="4.1128084606345476E-2"/>
                  <c:y val="-7.7760497667185074E-3"/>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0-B5DB-4E36-A8C2-0740FA534128}"/>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'Market share by coffee type'!$A$5:$A$8</c:f>
              <c:strCache>
                <c:ptCount val="4"/>
                <c:pt idx="0">
                  <c:v>2019</c:v>
                </c:pt>
                <c:pt idx="1">
                  <c:v>2020</c:v>
                </c:pt>
                <c:pt idx="2">
                  <c:v>2021</c:v>
                </c:pt>
                <c:pt idx="3">
                  <c:v>2022</c:v>
                </c:pt>
              </c:strCache>
            </c:strRef>
          </c:cat>
          <c:val>
            <c:numRef>
              <c:f>'Market share by coffee type'!$C$5:$C$8</c:f>
              <c:numCache>
                <c:formatCode>0.00%</c:formatCode>
                <c:ptCount val="4"/>
                <c:pt idx="0">
                  <c:v>7.7135647857708087E-2</c:v>
                </c:pt>
                <c:pt idx="1">
                  <c:v>8.1166954013088308E-2</c:v>
                </c:pt>
                <c:pt idx="2">
                  <c:v>7.6873762511422861E-2</c:v>
                </c:pt>
                <c:pt idx="3">
                  <c:v>3.7486605240299183E-2</c:v>
                </c:pt>
              </c:numCache>
            </c:numRef>
          </c:val>
          <c:extLst>
            <c:ext xmlns:c16="http://schemas.microsoft.com/office/drawing/2014/chart" uri="{C3380CC4-5D6E-409C-BE32-E72D297353CC}">
              <c16:uniqueId val="{00000011-B5DB-4E36-A8C2-0740FA534128}"/>
            </c:ext>
          </c:extLst>
        </c:ser>
        <c:ser>
          <c:idx val="2"/>
          <c:order val="2"/>
          <c:tx>
            <c:strRef>
              <c:f>'Market share by coffee type'!$D$3:$D$4</c:f>
              <c:strCache>
                <c:ptCount val="1"/>
                <c:pt idx="0">
                  <c:v>Liberica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B5DB-4E36-A8C2-0740FA53412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B5DB-4E36-A8C2-0740FA53412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B5DB-4E36-A8C2-0740FA53412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B5DB-4E36-A8C2-0740FA534128}"/>
              </c:ext>
            </c:extLst>
          </c:dPt>
          <c:dLbls>
            <c:dLbl>
              <c:idx val="2"/>
              <c:layout>
                <c:manualLayout>
                  <c:x val="-5.0920485703094397E-2"/>
                  <c:y val="8.0352514256091329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7-B5DB-4E36-A8C2-0740FA534128}"/>
                </c:ext>
              </c:extLst>
            </c:dLbl>
            <c:dLbl>
              <c:idx val="3"/>
              <c:layout>
                <c:manualLayout>
                  <c:x val="-1.9584802193497883E-2"/>
                  <c:y val="-1.5552099533437015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19-B5DB-4E36-A8C2-0740FA534128}"/>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'Market share by coffee type'!$A$5:$A$8</c:f>
              <c:strCache>
                <c:ptCount val="4"/>
                <c:pt idx="0">
                  <c:v>2019</c:v>
                </c:pt>
                <c:pt idx="1">
                  <c:v>2020</c:v>
                </c:pt>
                <c:pt idx="2">
                  <c:v>2021</c:v>
                </c:pt>
                <c:pt idx="3">
                  <c:v>2022</c:v>
                </c:pt>
              </c:strCache>
            </c:strRef>
          </c:cat>
          <c:val>
            <c:numRef>
              <c:f>'Market share by coffee type'!$D$5:$D$8</c:f>
              <c:numCache>
                <c:formatCode>0.00%</c:formatCode>
                <c:ptCount val="4"/>
                <c:pt idx="0">
                  <c:v>7.484348639409244E-2</c:v>
                </c:pt>
                <c:pt idx="1">
                  <c:v>5.7704619252051476E-2</c:v>
                </c:pt>
                <c:pt idx="2">
                  <c:v>8.5006277382888032E-2</c:v>
                </c:pt>
                <c:pt idx="3">
                  <c:v>4.9517157201331895E-2</c:v>
                </c:pt>
              </c:numCache>
            </c:numRef>
          </c:val>
          <c:extLst>
            <c:ext xmlns:c16="http://schemas.microsoft.com/office/drawing/2014/chart" uri="{C3380CC4-5D6E-409C-BE32-E72D297353CC}">
              <c16:uniqueId val="{0000001A-B5DB-4E36-A8C2-0740FA534128}"/>
            </c:ext>
          </c:extLst>
        </c:ser>
        <c:ser>
          <c:idx val="3"/>
          <c:order val="3"/>
          <c:tx>
            <c:strRef>
              <c:f>'Market share by coffee type'!$E$3:$E$4</c:f>
              <c:strCache>
                <c:ptCount val="1"/>
                <c:pt idx="0">
                  <c:v>Robusta</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B5DB-4E36-A8C2-0740FA53412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B5DB-4E36-A8C2-0740FA53412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B5DB-4E36-A8C2-0740FA53412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2-B5DB-4E36-A8C2-0740FA534128}"/>
              </c:ext>
            </c:extLst>
          </c:dPt>
          <c:dLbls>
            <c:dLbl>
              <c:idx val="3"/>
              <c:layout>
                <c:manualLayout>
                  <c:x val="5.4837446141793929E-2"/>
                  <c:y val="-5.4432348367029551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22-B5DB-4E36-A8C2-0740FA534128}"/>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'Market share by coffee type'!$A$5:$A$8</c:f>
              <c:strCache>
                <c:ptCount val="4"/>
                <c:pt idx="0">
                  <c:v>2019</c:v>
                </c:pt>
                <c:pt idx="1">
                  <c:v>2020</c:v>
                </c:pt>
                <c:pt idx="2">
                  <c:v>2021</c:v>
                </c:pt>
                <c:pt idx="3">
                  <c:v>2022</c:v>
                </c:pt>
              </c:strCache>
            </c:strRef>
          </c:cat>
          <c:val>
            <c:numRef>
              <c:f>'Market share by coffee type'!$E$5:$E$8</c:f>
              <c:numCache>
                <c:formatCode>0.00%</c:formatCode>
                <c:ptCount val="4"/>
                <c:pt idx="0">
                  <c:v>5.3198396650171821E-2</c:v>
                </c:pt>
                <c:pt idx="1">
                  <c:v>5.5241080195075773E-2</c:v>
                </c:pt>
                <c:pt idx="2">
                  <c:v>5.348808792789423E-2</c:v>
                </c:pt>
                <c:pt idx="3">
                  <c:v>3.7593730083724658E-2</c:v>
                </c:pt>
              </c:numCache>
            </c:numRef>
          </c:val>
          <c:extLst>
            <c:ext xmlns:c16="http://schemas.microsoft.com/office/drawing/2014/chart" uri="{C3380CC4-5D6E-409C-BE32-E72D297353CC}">
              <c16:uniqueId val="{00000023-B5DB-4E36-A8C2-0740FA534128}"/>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81</xdr:col>
      <xdr:colOff>65172</xdr:colOff>
      <xdr:row>6</xdr:row>
      <xdr:rowOff>127000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0" y="0"/>
          <a:ext cx="47023422" cy="1016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66</xdr:row>
      <xdr:rowOff>76200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798</xdr:colOff>
      <xdr:row>10</xdr:row>
      <xdr:rowOff>11453</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798</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26</xdr:col>
      <xdr:colOff>-1</xdr:colOff>
      <xdr:row>66</xdr:row>
      <xdr:rowOff>50800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60158</xdr:colOff>
      <xdr:row>4</xdr:row>
      <xdr:rowOff>160422</xdr:rowOff>
    </xdr:from>
    <xdr:to>
      <xdr:col>81</xdr:col>
      <xdr:colOff>95250</xdr:colOff>
      <xdr:row>66</xdr:row>
      <xdr:rowOff>34636</xdr:rowOff>
    </xdr:to>
    <xdr:graphicFrame macro="">
      <xdr:nvGraphicFramePr>
        <xdr:cNvPr id="2" name="Chart 1">
          <a:extLst>
            <a:ext uri="{FF2B5EF4-FFF2-40B4-BE49-F238E27FC236}">
              <a16:creationId xmlns:a16="http://schemas.microsoft.com/office/drawing/2014/main" id="{2E19642C-693B-4122-B8A3-6DDA1AF3A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190500</xdr:colOff>
      <xdr:row>66</xdr:row>
      <xdr:rowOff>50801</xdr:rowOff>
    </xdr:from>
    <xdr:to>
      <xdr:col>49</xdr:col>
      <xdr:colOff>31750</xdr:colOff>
      <xdr:row>140</xdr:row>
      <xdr:rowOff>1</xdr:rowOff>
    </xdr:to>
    <xdr:graphicFrame macro="">
      <xdr:nvGraphicFramePr>
        <xdr:cNvPr id="11" name="Chart 10">
          <a:extLst>
            <a:ext uri="{FF2B5EF4-FFF2-40B4-BE49-F238E27FC236}">
              <a16:creationId xmlns:a16="http://schemas.microsoft.com/office/drawing/2014/main" id="{916F6B60-57C0-4877-AC4F-57EAA39E6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501650</xdr:colOff>
      <xdr:row>66</xdr:row>
      <xdr:rowOff>69272</xdr:rowOff>
    </xdr:from>
    <xdr:to>
      <xdr:col>81</xdr:col>
      <xdr:colOff>50800</xdr:colOff>
      <xdr:row>140</xdr:row>
      <xdr:rowOff>49162</xdr:rowOff>
    </xdr:to>
    <xdr:graphicFrame macro="">
      <xdr:nvGraphicFramePr>
        <xdr:cNvPr id="12" name="Chart 11">
          <a:extLst>
            <a:ext uri="{FF2B5EF4-FFF2-40B4-BE49-F238E27FC236}">
              <a16:creationId xmlns:a16="http://schemas.microsoft.com/office/drawing/2014/main" id="{6FF95E74-CA47-4B86-B7E7-041F7D54D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F424C0-C632-4FCB-A8DB-D012E6FD407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J49" firstHeaderRow="1" firstDataRow="3"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2">
    <field x="13"/>
    <field x="-2"/>
  </colFields>
  <colItems count="8">
    <i>
      <x/>
      <x/>
    </i>
    <i r="1" i="1">
      <x v="1"/>
    </i>
    <i>
      <x v="1"/>
      <x/>
    </i>
    <i r="1" i="1">
      <x v="1"/>
    </i>
    <i>
      <x v="2"/>
      <x/>
    </i>
    <i r="1" i="1">
      <x v="1"/>
    </i>
    <i>
      <x v="3"/>
      <x/>
    </i>
    <i r="1" i="1">
      <x v="1"/>
    </i>
  </colItems>
  <dataFields count="2">
    <dataField name="Sum of Sales" fld="12" baseField="15" baseItem="2" numFmtId="3"/>
    <dataField name="cumulative sum" fld="12" showDataAs="runTotal" baseField="16" baseItem="1" numFmtId="167"/>
  </dataFields>
  <chartFormats count="20">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1"/>
          </reference>
          <reference field="13" count="1" selected="0">
            <x v="0"/>
          </reference>
        </references>
      </pivotArea>
    </chartFormat>
    <chartFormat chart="4" format="2" series="1">
      <pivotArea type="data" outline="0" fieldPosition="0">
        <references count="2">
          <reference field="4294967294" count="1" selected="0">
            <x v="0"/>
          </reference>
          <reference field="13" count="1" selected="0">
            <x v="1"/>
          </reference>
        </references>
      </pivotArea>
    </chartFormat>
    <chartFormat chart="4" format="3" series="1">
      <pivotArea type="data" outline="0" fieldPosition="0">
        <references count="2">
          <reference field="4294967294" count="1" selected="0">
            <x v="1"/>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2"/>
          </reference>
        </references>
      </pivotArea>
    </chartFormat>
    <chartFormat chart="4" format="5" series="1">
      <pivotArea type="data" outline="0" fieldPosition="0">
        <references count="2">
          <reference field="4294967294" count="1" selected="0">
            <x v="1"/>
          </reference>
          <reference field="13" count="1" selected="0">
            <x v="2"/>
          </reference>
        </references>
      </pivotArea>
    </chartFormat>
    <chartFormat chart="4" format="6" series="1">
      <pivotArea type="data" outline="0" fieldPosition="0">
        <references count="2">
          <reference field="4294967294" count="1" selected="0">
            <x v="0"/>
          </reference>
          <reference field="13" count="1" selected="0">
            <x v="3"/>
          </reference>
        </references>
      </pivotArea>
    </chartFormat>
    <chartFormat chart="4" format="7" series="1">
      <pivotArea type="data" outline="0" fieldPosition="0">
        <references count="2">
          <reference field="4294967294" count="1" selected="0">
            <x v="1"/>
          </reference>
          <reference field="13" count="1" selected="0">
            <x v="3"/>
          </reference>
        </references>
      </pivotArea>
    </chartFormat>
    <chartFormat chart="7" format="16" series="1">
      <pivotArea type="data" outline="0" fieldPosition="0">
        <references count="2">
          <reference field="4294967294" count="1" selected="0">
            <x v="0"/>
          </reference>
          <reference field="13" count="1" selected="0">
            <x v="0"/>
          </reference>
        </references>
      </pivotArea>
    </chartFormat>
    <chartFormat chart="7" format="17" series="1">
      <pivotArea type="data" outline="0" fieldPosition="0">
        <references count="2">
          <reference field="4294967294" count="1" selected="0">
            <x v="0"/>
          </reference>
          <reference field="13" count="1" selected="0">
            <x v="1"/>
          </reference>
        </references>
      </pivotArea>
    </chartFormat>
    <chartFormat chart="7" format="18" series="1">
      <pivotArea type="data" outline="0" fieldPosition="0">
        <references count="2">
          <reference field="4294967294" count="1" selected="0">
            <x v="0"/>
          </reference>
          <reference field="13" count="1" selected="0">
            <x v="2"/>
          </reference>
        </references>
      </pivotArea>
    </chartFormat>
    <chartFormat chart="7" format="19" series="1">
      <pivotArea type="data" outline="0" fieldPosition="0">
        <references count="2">
          <reference field="4294967294" count="1" selected="0">
            <x v="0"/>
          </reference>
          <reference field="13" count="1" selected="0">
            <x v="3"/>
          </reference>
        </references>
      </pivotArea>
    </chartFormat>
    <chartFormat chart="7" format="20" series="1">
      <pivotArea type="data" outline="0" fieldPosition="0">
        <references count="2">
          <reference field="4294967294" count="1" selected="0">
            <x v="1"/>
          </reference>
          <reference field="13" count="1" selected="0">
            <x v="0"/>
          </reference>
        </references>
      </pivotArea>
    </chartFormat>
    <chartFormat chart="7" format="21" series="1">
      <pivotArea type="data" outline="0" fieldPosition="0">
        <references count="2">
          <reference field="4294967294" count="1" selected="0">
            <x v="1"/>
          </reference>
          <reference field="13" count="1" selected="0">
            <x v="1"/>
          </reference>
        </references>
      </pivotArea>
    </chartFormat>
    <chartFormat chart="7" format="22" series="1">
      <pivotArea type="data" outline="0" fieldPosition="0">
        <references count="2">
          <reference field="4294967294" count="1" selected="0">
            <x v="1"/>
          </reference>
          <reference field="13" count="1" selected="0">
            <x v="2"/>
          </reference>
        </references>
      </pivotArea>
    </chartFormat>
    <chartFormat chart="7" format="23" series="1">
      <pivotArea type="data" outline="0" fieldPosition="0">
        <references count="2">
          <reference field="4294967294" count="1" selected="0">
            <x v="1"/>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CBEAB7-DE19-4061-BD9D-65A1DA9E5E2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J49" firstHeaderRow="1" firstDataRow="3"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2">
    <field x="13"/>
    <field x="-2"/>
  </colFields>
  <colItems count="8">
    <i>
      <x/>
      <x/>
    </i>
    <i r="1" i="1">
      <x v="1"/>
    </i>
    <i>
      <x v="1"/>
      <x/>
    </i>
    <i r="1" i="1">
      <x v="1"/>
    </i>
    <i>
      <x v="2"/>
      <x/>
    </i>
    <i r="1" i="1">
      <x v="1"/>
    </i>
    <i>
      <x v="3"/>
      <x/>
    </i>
    <i r="1" i="1">
      <x v="1"/>
    </i>
  </colItems>
  <dataFields count="2">
    <dataField name="Year on Year %" fld="12" showDataAs="percentDiff" baseField="17" baseItem="1048828" numFmtId="10"/>
    <dataField name="Sum of Sales" fld="12" baseField="0" baseItem="0" numFmtId="167"/>
  </dataFields>
  <chartFormats count="20">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1"/>
          </reference>
          <reference field="13" count="1" selected="0">
            <x v="0"/>
          </reference>
        </references>
      </pivotArea>
    </chartFormat>
    <chartFormat chart="4" format="2" series="1">
      <pivotArea type="data" outline="0" fieldPosition="0">
        <references count="2">
          <reference field="4294967294" count="1" selected="0">
            <x v="0"/>
          </reference>
          <reference field="13" count="1" selected="0">
            <x v="1"/>
          </reference>
        </references>
      </pivotArea>
    </chartFormat>
    <chartFormat chart="4" format="3" series="1">
      <pivotArea type="data" outline="0" fieldPosition="0">
        <references count="2">
          <reference field="4294967294" count="1" selected="0">
            <x v="1"/>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2"/>
          </reference>
        </references>
      </pivotArea>
    </chartFormat>
    <chartFormat chart="4" format="5" series="1">
      <pivotArea type="data" outline="0" fieldPosition="0">
        <references count="2">
          <reference field="4294967294" count="1" selected="0">
            <x v="1"/>
          </reference>
          <reference field="13" count="1" selected="0">
            <x v="2"/>
          </reference>
        </references>
      </pivotArea>
    </chartFormat>
    <chartFormat chart="4" format="6" series="1">
      <pivotArea type="data" outline="0" fieldPosition="0">
        <references count="2">
          <reference field="4294967294" count="1" selected="0">
            <x v="0"/>
          </reference>
          <reference field="13" count="1" selected="0">
            <x v="3"/>
          </reference>
        </references>
      </pivotArea>
    </chartFormat>
    <chartFormat chart="4" format="7" series="1">
      <pivotArea type="data" outline="0" fieldPosition="0">
        <references count="2">
          <reference field="4294967294" count="1" selected="0">
            <x v="1"/>
          </reference>
          <reference field="13" count="1" selected="0">
            <x v="3"/>
          </reference>
        </references>
      </pivotArea>
    </chartFormat>
    <chartFormat chart="7" format="16" series="1">
      <pivotArea type="data" outline="0" fieldPosition="0">
        <references count="2">
          <reference field="4294967294" count="1" selected="0">
            <x v="1"/>
          </reference>
          <reference field="13" count="1" selected="0">
            <x v="0"/>
          </reference>
        </references>
      </pivotArea>
    </chartFormat>
    <chartFormat chart="7" format="17" series="1">
      <pivotArea type="data" outline="0" fieldPosition="0">
        <references count="2">
          <reference field="4294967294" count="1" selected="0">
            <x v="1"/>
          </reference>
          <reference field="13" count="1" selected="0">
            <x v="1"/>
          </reference>
        </references>
      </pivotArea>
    </chartFormat>
    <chartFormat chart="7" format="18" series="1">
      <pivotArea type="data" outline="0" fieldPosition="0">
        <references count="2">
          <reference field="4294967294" count="1" selected="0">
            <x v="1"/>
          </reference>
          <reference field="13" count="1" selected="0">
            <x v="2"/>
          </reference>
        </references>
      </pivotArea>
    </chartFormat>
    <chartFormat chart="7" format="19" series="1">
      <pivotArea type="data" outline="0" fieldPosition="0">
        <references count="2">
          <reference field="4294967294" count="1" selected="0">
            <x v="1"/>
          </reference>
          <reference field="13" count="1" selected="0">
            <x v="3"/>
          </reference>
        </references>
      </pivotArea>
    </chartFormat>
    <chartFormat chart="7" format="20" series="1">
      <pivotArea type="data" outline="0" fieldPosition="0">
        <references count="2">
          <reference field="4294967294" count="1" selected="0">
            <x v="0"/>
          </reference>
          <reference field="13" count="1" selected="0">
            <x v="0"/>
          </reference>
        </references>
      </pivotArea>
    </chartFormat>
    <chartFormat chart="7" format="21" series="1">
      <pivotArea type="data" outline="0" fieldPosition="0">
        <references count="2">
          <reference field="4294967294" count="1" selected="0">
            <x v="0"/>
          </reference>
          <reference field="13" count="1" selected="0">
            <x v="1"/>
          </reference>
        </references>
      </pivotArea>
    </chartFormat>
    <chartFormat chart="7" format="22" series="1">
      <pivotArea type="data" outline="0" fieldPosition="0">
        <references count="2">
          <reference field="4294967294" count="1" selected="0">
            <x v="0"/>
          </reference>
          <reference field="13" count="1" selected="0">
            <x v="2"/>
          </reference>
        </references>
      </pivotArea>
    </chartFormat>
    <chartFormat chart="7" format="2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41F43F-07E9-4B17-A5BB-F5ECC1E181E7}"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E8" firstHeaderRow="1" firstDataRow="2"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1">
    <field x="17"/>
  </rowFields>
  <rowItems count="4">
    <i>
      <x v="1"/>
    </i>
    <i>
      <x v="2"/>
    </i>
    <i>
      <x v="3"/>
    </i>
    <i>
      <x v="4"/>
    </i>
  </rowItems>
  <colFields count="1">
    <field x="13"/>
  </colFields>
  <colItems count="4">
    <i>
      <x/>
    </i>
    <i>
      <x v="1"/>
    </i>
    <i>
      <x v="2"/>
    </i>
    <i>
      <x v="3"/>
    </i>
  </colItems>
  <dataFields count="1">
    <dataField name="Market share per coffee type per year" fld="12" showDataAs="percentOfTotal" baseField="16" baseItem="1" numFmtId="10"/>
  </dataFields>
  <chartFormats count="38">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3">
          <reference field="4294967294" count="1" selected="0">
            <x v="0"/>
          </reference>
          <reference field="13" count="1" selected="0">
            <x v="0"/>
          </reference>
          <reference field="17" count="1" selected="0">
            <x v="1"/>
          </reference>
        </references>
      </pivotArea>
    </chartFormat>
    <chartFormat chart="4" format="5">
      <pivotArea type="data" outline="0" fieldPosition="0">
        <references count="3">
          <reference field="4294967294" count="1" selected="0">
            <x v="0"/>
          </reference>
          <reference field="13" count="1" selected="0">
            <x v="0"/>
          </reference>
          <reference field="17" count="1" selected="0">
            <x v="2"/>
          </reference>
        </references>
      </pivotArea>
    </chartFormat>
    <chartFormat chart="4" format="6">
      <pivotArea type="data" outline="0" fieldPosition="0">
        <references count="3">
          <reference field="4294967294" count="1" selected="0">
            <x v="0"/>
          </reference>
          <reference field="13" count="1" selected="0">
            <x v="0"/>
          </reference>
          <reference field="17" count="1" selected="0">
            <x v="4"/>
          </reference>
        </references>
      </pivotArea>
    </chartFormat>
    <chartFormat chart="4" format="7">
      <pivotArea type="data" outline="0" fieldPosition="0">
        <references count="3">
          <reference field="4294967294" count="1" selected="0">
            <x v="0"/>
          </reference>
          <reference field="13" count="1" selected="0">
            <x v="2"/>
          </reference>
          <reference field="17" count="1" selected="0">
            <x v="1"/>
          </reference>
        </references>
      </pivotArea>
    </chartFormat>
    <chartFormat chart="4" format="8">
      <pivotArea type="data" outline="0" fieldPosition="0">
        <references count="3">
          <reference field="4294967294" count="1" selected="0">
            <x v="0"/>
          </reference>
          <reference field="13" count="1" selected="0">
            <x v="2"/>
          </reference>
          <reference field="17" count="1" selected="0">
            <x v="3"/>
          </reference>
        </references>
      </pivotArea>
    </chartFormat>
    <chartFormat chart="4" format="9">
      <pivotArea type="data" outline="0" fieldPosition="0">
        <references count="3">
          <reference field="4294967294" count="1" selected="0">
            <x v="0"/>
          </reference>
          <reference field="13" count="1" selected="0">
            <x v="1"/>
          </reference>
          <reference field="17" count="1" selected="0">
            <x v="4"/>
          </reference>
        </references>
      </pivotArea>
    </chartFormat>
    <chartFormat chart="4" format="10">
      <pivotArea type="data" outline="0" fieldPosition="0">
        <references count="3">
          <reference field="4294967294" count="1" selected="0">
            <x v="0"/>
          </reference>
          <reference field="13" count="1" selected="0">
            <x v="3"/>
          </reference>
          <reference field="17" count="1" selected="0">
            <x v="4"/>
          </reference>
        </references>
      </pivotArea>
    </chartFormat>
    <chartFormat chart="4" format="11">
      <pivotArea type="data" outline="0" fieldPosition="0">
        <references count="3">
          <reference field="4294967294" count="1" selected="0">
            <x v="0"/>
          </reference>
          <reference field="13" count="1" selected="0">
            <x v="2"/>
          </reference>
          <reference field="17" count="1" selected="0">
            <x v="4"/>
          </reference>
        </references>
      </pivotArea>
    </chartFormat>
    <chartFormat chart="4" format="12">
      <pivotArea type="data" outline="0" fieldPosition="0">
        <references count="3">
          <reference field="4294967294" count="1" selected="0">
            <x v="0"/>
          </reference>
          <reference field="13" count="1" selected="0">
            <x v="1"/>
          </reference>
          <reference field="17" count="1" selected="0">
            <x v="3"/>
          </reference>
        </references>
      </pivotArea>
    </chartFormat>
    <chartFormat chart="4" format="13">
      <pivotArea type="data" outline="0" fieldPosition="0">
        <references count="3">
          <reference field="4294967294" count="1" selected="0">
            <x v="0"/>
          </reference>
          <reference field="13" count="1" selected="0">
            <x v="0"/>
          </reference>
          <reference field="17" count="1" selected="0">
            <x v="3"/>
          </reference>
        </references>
      </pivotArea>
    </chartFormat>
    <chartFormat chart="11" format="34" series="1">
      <pivotArea type="data" outline="0" fieldPosition="0">
        <references count="2">
          <reference field="4294967294" count="1" selected="0">
            <x v="0"/>
          </reference>
          <reference field="13" count="1" selected="0">
            <x v="0"/>
          </reference>
        </references>
      </pivotArea>
    </chartFormat>
    <chartFormat chart="11" format="35">
      <pivotArea type="data" outline="0" fieldPosition="0">
        <references count="3">
          <reference field="4294967294" count="1" selected="0">
            <x v="0"/>
          </reference>
          <reference field="13" count="1" selected="0">
            <x v="0"/>
          </reference>
          <reference field="17" count="1" selected="0">
            <x v="1"/>
          </reference>
        </references>
      </pivotArea>
    </chartFormat>
    <chartFormat chart="11" format="36">
      <pivotArea type="data" outline="0" fieldPosition="0">
        <references count="3">
          <reference field="4294967294" count="1" selected="0">
            <x v="0"/>
          </reference>
          <reference field="13" count="1" selected="0">
            <x v="0"/>
          </reference>
          <reference field="17" count="1" selected="0">
            <x v="2"/>
          </reference>
        </references>
      </pivotArea>
    </chartFormat>
    <chartFormat chart="11" format="37">
      <pivotArea type="data" outline="0" fieldPosition="0">
        <references count="3">
          <reference field="4294967294" count="1" selected="0">
            <x v="0"/>
          </reference>
          <reference field="13" count="1" selected="0">
            <x v="0"/>
          </reference>
          <reference field="17" count="1" selected="0">
            <x v="3"/>
          </reference>
        </references>
      </pivotArea>
    </chartFormat>
    <chartFormat chart="11" format="38">
      <pivotArea type="data" outline="0" fieldPosition="0">
        <references count="3">
          <reference field="4294967294" count="1" selected="0">
            <x v="0"/>
          </reference>
          <reference field="13" count="1" selected="0">
            <x v="0"/>
          </reference>
          <reference field="17" count="1" selected="0">
            <x v="4"/>
          </reference>
        </references>
      </pivotArea>
    </chartFormat>
    <chartFormat chart="11" format="39" series="1">
      <pivotArea type="data" outline="0" fieldPosition="0">
        <references count="2">
          <reference field="4294967294" count="1" selected="0">
            <x v="0"/>
          </reference>
          <reference field="13" count="1" selected="0">
            <x v="1"/>
          </reference>
        </references>
      </pivotArea>
    </chartFormat>
    <chartFormat chart="11" format="40">
      <pivotArea type="data" outline="0" fieldPosition="0">
        <references count="3">
          <reference field="4294967294" count="1" selected="0">
            <x v="0"/>
          </reference>
          <reference field="13" count="1" selected="0">
            <x v="1"/>
          </reference>
          <reference field="17" count="1" selected="0">
            <x v="1"/>
          </reference>
        </references>
      </pivotArea>
    </chartFormat>
    <chartFormat chart="11" format="41">
      <pivotArea type="data" outline="0" fieldPosition="0">
        <references count="3">
          <reference field="4294967294" count="1" selected="0">
            <x v="0"/>
          </reference>
          <reference field="13" count="1" selected="0">
            <x v="1"/>
          </reference>
          <reference field="17" count="1" selected="0">
            <x v="2"/>
          </reference>
        </references>
      </pivotArea>
    </chartFormat>
    <chartFormat chart="11" format="42">
      <pivotArea type="data" outline="0" fieldPosition="0">
        <references count="3">
          <reference field="4294967294" count="1" selected="0">
            <x v="0"/>
          </reference>
          <reference field="13" count="1" selected="0">
            <x v="1"/>
          </reference>
          <reference field="17" count="1" selected="0">
            <x v="3"/>
          </reference>
        </references>
      </pivotArea>
    </chartFormat>
    <chartFormat chart="11" format="43">
      <pivotArea type="data" outline="0" fieldPosition="0">
        <references count="3">
          <reference field="4294967294" count="1" selected="0">
            <x v="0"/>
          </reference>
          <reference field="13" count="1" selected="0">
            <x v="1"/>
          </reference>
          <reference field="17" count="1" selected="0">
            <x v="4"/>
          </reference>
        </references>
      </pivotArea>
    </chartFormat>
    <chartFormat chart="11" format="44" series="1">
      <pivotArea type="data" outline="0" fieldPosition="0">
        <references count="2">
          <reference field="4294967294" count="1" selected="0">
            <x v="0"/>
          </reference>
          <reference field="13" count="1" selected="0">
            <x v="2"/>
          </reference>
        </references>
      </pivotArea>
    </chartFormat>
    <chartFormat chart="11" format="45">
      <pivotArea type="data" outline="0" fieldPosition="0">
        <references count="3">
          <reference field="4294967294" count="1" selected="0">
            <x v="0"/>
          </reference>
          <reference field="13" count="1" selected="0">
            <x v="2"/>
          </reference>
          <reference field="17" count="1" selected="0">
            <x v="1"/>
          </reference>
        </references>
      </pivotArea>
    </chartFormat>
    <chartFormat chart="11" format="46">
      <pivotArea type="data" outline="0" fieldPosition="0">
        <references count="3">
          <reference field="4294967294" count="1" selected="0">
            <x v="0"/>
          </reference>
          <reference field="13" count="1" selected="0">
            <x v="2"/>
          </reference>
          <reference field="17" count="1" selected="0">
            <x v="2"/>
          </reference>
        </references>
      </pivotArea>
    </chartFormat>
    <chartFormat chart="11" format="47">
      <pivotArea type="data" outline="0" fieldPosition="0">
        <references count="3">
          <reference field="4294967294" count="1" selected="0">
            <x v="0"/>
          </reference>
          <reference field="13" count="1" selected="0">
            <x v="2"/>
          </reference>
          <reference field="17" count="1" selected="0">
            <x v="3"/>
          </reference>
        </references>
      </pivotArea>
    </chartFormat>
    <chartFormat chart="11" format="48">
      <pivotArea type="data" outline="0" fieldPosition="0">
        <references count="3">
          <reference field="4294967294" count="1" selected="0">
            <x v="0"/>
          </reference>
          <reference field="13" count="1" selected="0">
            <x v="2"/>
          </reference>
          <reference field="17" count="1" selected="0">
            <x v="4"/>
          </reference>
        </references>
      </pivotArea>
    </chartFormat>
    <chartFormat chart="11" format="49" series="1">
      <pivotArea type="data" outline="0" fieldPosition="0">
        <references count="2">
          <reference field="4294967294" count="1" selected="0">
            <x v="0"/>
          </reference>
          <reference field="13" count="1" selected="0">
            <x v="3"/>
          </reference>
        </references>
      </pivotArea>
    </chartFormat>
    <chartFormat chart="11" format="50">
      <pivotArea type="data" outline="0" fieldPosition="0">
        <references count="3">
          <reference field="4294967294" count="1" selected="0">
            <x v="0"/>
          </reference>
          <reference field="13" count="1" selected="0">
            <x v="3"/>
          </reference>
          <reference field="17" count="1" selected="0">
            <x v="1"/>
          </reference>
        </references>
      </pivotArea>
    </chartFormat>
    <chartFormat chart="11" format="51">
      <pivotArea type="data" outline="0" fieldPosition="0">
        <references count="3">
          <reference field="4294967294" count="1" selected="0">
            <x v="0"/>
          </reference>
          <reference field="13" count="1" selected="0">
            <x v="3"/>
          </reference>
          <reference field="17" count="1" selected="0">
            <x v="2"/>
          </reference>
        </references>
      </pivotArea>
    </chartFormat>
    <chartFormat chart="11" format="52">
      <pivotArea type="data" outline="0" fieldPosition="0">
        <references count="3">
          <reference field="4294967294" count="1" selected="0">
            <x v="0"/>
          </reference>
          <reference field="13" count="1" selected="0">
            <x v="3"/>
          </reference>
          <reference field="17" count="1" selected="0">
            <x v="3"/>
          </reference>
        </references>
      </pivotArea>
    </chartFormat>
    <chartFormat chart="11" format="53">
      <pivotArea type="data" outline="0" fieldPosition="0">
        <references count="3">
          <reference field="4294967294" count="1" selected="0">
            <x v="0"/>
          </reference>
          <reference field="13" count="1" selected="0">
            <x v="3"/>
          </reference>
          <reference field="17"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 tabId="24" name="TotalSales"/>
    <pivotTable tabId="25" name="TotalSales"/>
    <pivotTable tabId="27"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 tabId="24" name="TotalSales"/>
    <pivotTable tabId="25" name="TotalSales"/>
    <pivotTable tabId="27"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 tabId="24" name="TotalSales"/>
    <pivotTable tabId="25" name="TotalSales"/>
    <pivotTable tabId="27"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 tabId="24" name="TotalSales"/>
    <pivotTable tabId="25" name="TotalSales"/>
    <pivotTable tabId="27"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A3" zoomScale="31" workbookViewId="0">
      <selection activeCell="CI42" sqref="CI42"/>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N20" sqref="N20"/>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207E-E711-4F6B-A214-4186C3B4647E}">
  <dimension ref="A3:J49"/>
  <sheetViews>
    <sheetView workbookViewId="0">
      <selection activeCell="F3" sqref="F3"/>
    </sheetView>
  </sheetViews>
  <sheetFormatPr defaultRowHeight="14.4" x14ac:dyDescent="0.3"/>
  <cols>
    <col min="1" max="1" width="13.109375" bestFit="1" customWidth="1"/>
    <col min="2" max="2" width="20.88671875" bestFit="1" customWidth="1"/>
    <col min="3" max="10" width="18.88671875" bestFit="1" customWidth="1"/>
  </cols>
  <sheetData>
    <row r="3" spans="1:10" x14ac:dyDescent="0.3">
      <c r="C3" s="6" t="s">
        <v>6196</v>
      </c>
      <c r="D3" s="6" t="s">
        <v>6222</v>
      </c>
    </row>
    <row r="4" spans="1:10" x14ac:dyDescent="0.3">
      <c r="C4" t="s">
        <v>6210</v>
      </c>
      <c r="E4" t="s">
        <v>6211</v>
      </c>
      <c r="G4" t="s">
        <v>6212</v>
      </c>
      <c r="I4" t="s">
        <v>6213</v>
      </c>
    </row>
    <row r="5" spans="1:10" x14ac:dyDescent="0.3">
      <c r="A5" s="6" t="s">
        <v>6208</v>
      </c>
      <c r="B5" s="6" t="s">
        <v>6209</v>
      </c>
      <c r="C5" t="s">
        <v>6214</v>
      </c>
      <c r="D5" t="s">
        <v>6224</v>
      </c>
      <c r="E5" t="s">
        <v>6214</v>
      </c>
      <c r="F5" t="s">
        <v>6224</v>
      </c>
      <c r="G5" t="s">
        <v>6214</v>
      </c>
      <c r="H5" t="s">
        <v>6224</v>
      </c>
      <c r="I5" t="s">
        <v>6214</v>
      </c>
      <c r="J5" t="s">
        <v>6224</v>
      </c>
    </row>
    <row r="6" spans="1:10" x14ac:dyDescent="0.3">
      <c r="A6" t="s">
        <v>6198</v>
      </c>
      <c r="B6" t="s">
        <v>6199</v>
      </c>
      <c r="C6" s="7">
        <v>186.85499999999999</v>
      </c>
      <c r="D6" s="5">
        <v>186.85499999999999</v>
      </c>
      <c r="E6" s="7">
        <v>305.97000000000003</v>
      </c>
      <c r="F6" s="5">
        <v>305.97000000000003</v>
      </c>
      <c r="G6" s="7">
        <v>213.15999999999997</v>
      </c>
      <c r="H6" s="5">
        <v>213.15999999999997</v>
      </c>
      <c r="I6" s="7">
        <v>123</v>
      </c>
      <c r="J6" s="5">
        <v>123</v>
      </c>
    </row>
    <row r="7" spans="1:10" x14ac:dyDescent="0.3">
      <c r="B7" t="s">
        <v>6200</v>
      </c>
      <c r="C7" s="7">
        <v>251.96499999999997</v>
      </c>
      <c r="D7" s="5">
        <v>438.81999999999994</v>
      </c>
      <c r="E7" s="7">
        <v>129.46</v>
      </c>
      <c r="F7" s="5">
        <v>435.43000000000006</v>
      </c>
      <c r="G7" s="7">
        <v>434.03999999999996</v>
      </c>
      <c r="H7" s="5">
        <v>647.19999999999993</v>
      </c>
      <c r="I7" s="7">
        <v>171.93999999999997</v>
      </c>
      <c r="J7" s="5">
        <v>294.93999999999994</v>
      </c>
    </row>
    <row r="8" spans="1:10" x14ac:dyDescent="0.3">
      <c r="B8" t="s">
        <v>6201</v>
      </c>
      <c r="C8" s="7">
        <v>224.94499999999999</v>
      </c>
      <c r="D8" s="5">
        <v>663.76499999999987</v>
      </c>
      <c r="E8" s="7">
        <v>349.12</v>
      </c>
      <c r="F8" s="5">
        <v>784.55000000000007</v>
      </c>
      <c r="G8" s="7">
        <v>321.04000000000002</v>
      </c>
      <c r="H8" s="5">
        <v>968.24</v>
      </c>
      <c r="I8" s="7">
        <v>126.035</v>
      </c>
      <c r="J8" s="5">
        <v>420.97499999999991</v>
      </c>
    </row>
    <row r="9" spans="1:10" x14ac:dyDescent="0.3">
      <c r="B9" t="s">
        <v>6202</v>
      </c>
      <c r="C9" s="7">
        <v>307.12</v>
      </c>
      <c r="D9" s="5">
        <v>970.88499999999988</v>
      </c>
      <c r="E9" s="7">
        <v>681.07499999999993</v>
      </c>
      <c r="F9" s="5">
        <v>1465.625</v>
      </c>
      <c r="G9" s="7">
        <v>533.70499999999993</v>
      </c>
      <c r="H9" s="5">
        <v>1501.9449999999999</v>
      </c>
      <c r="I9" s="7">
        <v>158.85</v>
      </c>
      <c r="J9" s="5">
        <v>579.82499999999993</v>
      </c>
    </row>
    <row r="10" spans="1:10" x14ac:dyDescent="0.3">
      <c r="B10" t="s">
        <v>6203</v>
      </c>
      <c r="C10" s="7">
        <v>53.664999999999992</v>
      </c>
      <c r="D10" s="5">
        <v>1024.55</v>
      </c>
      <c r="E10" s="7">
        <v>83.025000000000006</v>
      </c>
      <c r="F10" s="5">
        <v>1548.65</v>
      </c>
      <c r="G10" s="7">
        <v>193.83499999999998</v>
      </c>
      <c r="H10" s="5">
        <v>1695.78</v>
      </c>
      <c r="I10" s="7">
        <v>68.039999999999992</v>
      </c>
      <c r="J10" s="5">
        <v>647.8649999999999</v>
      </c>
    </row>
    <row r="11" spans="1:10" x14ac:dyDescent="0.3">
      <c r="B11" t="s">
        <v>6217</v>
      </c>
      <c r="C11" s="7">
        <v>163.01999999999998</v>
      </c>
      <c r="D11" s="5">
        <v>1187.57</v>
      </c>
      <c r="E11" s="7">
        <v>678.3599999999999</v>
      </c>
      <c r="F11" s="5">
        <v>2227.0100000000002</v>
      </c>
      <c r="G11" s="7">
        <v>171.04500000000002</v>
      </c>
      <c r="H11" s="5">
        <v>1866.825</v>
      </c>
      <c r="I11" s="7">
        <v>372.255</v>
      </c>
      <c r="J11" s="5">
        <v>1020.1199999999999</v>
      </c>
    </row>
    <row r="12" spans="1:10" x14ac:dyDescent="0.3">
      <c r="B12" t="s">
        <v>6218</v>
      </c>
      <c r="C12" s="7">
        <v>345.02</v>
      </c>
      <c r="D12" s="5">
        <v>1532.59</v>
      </c>
      <c r="E12" s="7">
        <v>273.86999999999995</v>
      </c>
      <c r="F12" s="5">
        <v>2500.88</v>
      </c>
      <c r="G12" s="7">
        <v>184.12999999999997</v>
      </c>
      <c r="H12" s="5">
        <v>2050.9549999999999</v>
      </c>
      <c r="I12" s="7">
        <v>201.11499999999998</v>
      </c>
      <c r="J12" s="5">
        <v>1221.2349999999999</v>
      </c>
    </row>
    <row r="13" spans="1:10" x14ac:dyDescent="0.3">
      <c r="B13" t="s">
        <v>6215</v>
      </c>
      <c r="C13" s="7">
        <v>334.89</v>
      </c>
      <c r="D13" s="5">
        <v>1867.48</v>
      </c>
      <c r="E13" s="7">
        <v>70.95</v>
      </c>
      <c r="F13" s="5">
        <v>2571.83</v>
      </c>
      <c r="G13" s="7">
        <v>134.23000000000002</v>
      </c>
      <c r="H13" s="5">
        <v>2185.1849999999999</v>
      </c>
      <c r="I13" s="7">
        <v>166.27499999999998</v>
      </c>
      <c r="J13" s="5">
        <v>1387.5099999999998</v>
      </c>
    </row>
    <row r="14" spans="1:10" x14ac:dyDescent="0.3">
      <c r="B14" t="s">
        <v>6216</v>
      </c>
      <c r="C14" s="7">
        <v>178.70999999999998</v>
      </c>
      <c r="D14" s="5">
        <v>2046.19</v>
      </c>
      <c r="E14" s="7">
        <v>166.1</v>
      </c>
      <c r="F14" s="5">
        <v>2737.93</v>
      </c>
      <c r="G14" s="7">
        <v>439.30999999999995</v>
      </c>
      <c r="H14" s="5">
        <v>2624.4949999999999</v>
      </c>
      <c r="I14" s="7">
        <v>492.9</v>
      </c>
      <c r="J14" s="5">
        <v>1880.4099999999999</v>
      </c>
    </row>
    <row r="15" spans="1:10" x14ac:dyDescent="0.3">
      <c r="B15" t="s">
        <v>6204</v>
      </c>
      <c r="C15" s="7">
        <v>301.98500000000001</v>
      </c>
      <c r="D15" s="5">
        <v>2348.1750000000002</v>
      </c>
      <c r="E15" s="7">
        <v>153.76499999999999</v>
      </c>
      <c r="F15" s="5">
        <v>2891.6949999999997</v>
      </c>
      <c r="G15" s="7">
        <v>215.55499999999998</v>
      </c>
      <c r="H15" s="5">
        <v>2840.0499999999997</v>
      </c>
      <c r="I15" s="7">
        <v>213.66499999999999</v>
      </c>
      <c r="J15" s="5">
        <v>2094.0749999999998</v>
      </c>
    </row>
    <row r="16" spans="1:10" x14ac:dyDescent="0.3">
      <c r="B16" t="s">
        <v>6205</v>
      </c>
      <c r="C16" s="7">
        <v>312.83499999999998</v>
      </c>
      <c r="D16" s="5">
        <v>2661.01</v>
      </c>
      <c r="E16" s="7">
        <v>63.249999999999993</v>
      </c>
      <c r="F16" s="5">
        <v>2954.9449999999997</v>
      </c>
      <c r="G16" s="7">
        <v>350.89500000000004</v>
      </c>
      <c r="H16" s="5">
        <v>3190.9449999999997</v>
      </c>
      <c r="I16" s="7">
        <v>96.405000000000001</v>
      </c>
      <c r="J16" s="5">
        <v>2190.48</v>
      </c>
    </row>
    <row r="17" spans="1:10" x14ac:dyDescent="0.3">
      <c r="B17" t="s">
        <v>6206</v>
      </c>
      <c r="C17" s="7">
        <v>265.62</v>
      </c>
      <c r="D17" s="5">
        <v>2926.63</v>
      </c>
      <c r="E17" s="7">
        <v>526.51499999999987</v>
      </c>
      <c r="F17" s="5">
        <v>3481.4599999999996</v>
      </c>
      <c r="G17" s="7">
        <v>187.06</v>
      </c>
      <c r="H17" s="5">
        <v>3378.0049999999997</v>
      </c>
      <c r="I17" s="7">
        <v>210.58999999999997</v>
      </c>
      <c r="J17" s="5">
        <v>2401.0700000000002</v>
      </c>
    </row>
    <row r="18" spans="1:10" x14ac:dyDescent="0.3">
      <c r="A18" t="s">
        <v>6207</v>
      </c>
      <c r="B18" t="s">
        <v>6199</v>
      </c>
      <c r="C18" s="7">
        <v>47.25</v>
      </c>
      <c r="D18" s="5">
        <v>47.25</v>
      </c>
      <c r="E18" s="7">
        <v>65.805000000000007</v>
      </c>
      <c r="F18" s="5">
        <v>65.805000000000007</v>
      </c>
      <c r="G18" s="7">
        <v>274.67500000000001</v>
      </c>
      <c r="H18" s="5">
        <v>274.67500000000001</v>
      </c>
      <c r="I18" s="7">
        <v>179.22</v>
      </c>
      <c r="J18" s="5">
        <v>179.22</v>
      </c>
    </row>
    <row r="19" spans="1:10" x14ac:dyDescent="0.3">
      <c r="B19" t="s">
        <v>6200</v>
      </c>
      <c r="C19" s="7">
        <v>745.44999999999993</v>
      </c>
      <c r="D19" s="5">
        <v>792.69999999999993</v>
      </c>
      <c r="E19" s="7">
        <v>428.88499999999999</v>
      </c>
      <c r="F19" s="5">
        <v>494.69</v>
      </c>
      <c r="G19" s="7">
        <v>194.17499999999998</v>
      </c>
      <c r="H19" s="5">
        <v>468.85</v>
      </c>
      <c r="I19" s="7">
        <v>429.82999999999993</v>
      </c>
      <c r="J19" s="5">
        <v>609.04999999999995</v>
      </c>
    </row>
    <row r="20" spans="1:10" x14ac:dyDescent="0.3">
      <c r="B20" t="s">
        <v>6201</v>
      </c>
      <c r="C20" s="7">
        <v>130.47</v>
      </c>
      <c r="D20" s="5">
        <v>923.17</v>
      </c>
      <c r="E20" s="7">
        <v>271.48500000000001</v>
      </c>
      <c r="F20" s="5">
        <v>766.17499999999995</v>
      </c>
      <c r="G20" s="7">
        <v>281.20499999999998</v>
      </c>
      <c r="H20" s="5">
        <v>750.05500000000006</v>
      </c>
      <c r="I20" s="7">
        <v>231.63000000000002</v>
      </c>
      <c r="J20" s="5">
        <v>840.68</v>
      </c>
    </row>
    <row r="21" spans="1:10" x14ac:dyDescent="0.3">
      <c r="B21" t="s">
        <v>6202</v>
      </c>
      <c r="C21" s="7">
        <v>27</v>
      </c>
      <c r="D21" s="5">
        <v>950.17</v>
      </c>
      <c r="E21" s="7">
        <v>347.26</v>
      </c>
      <c r="F21" s="5">
        <v>1113.4349999999999</v>
      </c>
      <c r="G21" s="7">
        <v>147.51</v>
      </c>
      <c r="H21" s="5">
        <v>897.56500000000005</v>
      </c>
      <c r="I21" s="7">
        <v>240.04</v>
      </c>
      <c r="J21" s="5">
        <v>1080.72</v>
      </c>
    </row>
    <row r="22" spans="1:10" x14ac:dyDescent="0.3">
      <c r="B22" t="s">
        <v>6203</v>
      </c>
      <c r="C22" s="7">
        <v>255.11499999999995</v>
      </c>
      <c r="D22" s="5">
        <v>1205.2849999999999</v>
      </c>
      <c r="E22" s="7">
        <v>541.73</v>
      </c>
      <c r="F22" s="5">
        <v>1655.165</v>
      </c>
      <c r="G22" s="7">
        <v>83.43</v>
      </c>
      <c r="H22" s="5">
        <v>980.99500000000012</v>
      </c>
      <c r="I22" s="7">
        <v>59.079999999999991</v>
      </c>
      <c r="J22" s="5">
        <v>1139.8</v>
      </c>
    </row>
    <row r="23" spans="1:10" x14ac:dyDescent="0.3">
      <c r="B23" t="s">
        <v>6217</v>
      </c>
      <c r="C23" s="7">
        <v>584.78999999999985</v>
      </c>
      <c r="D23" s="5">
        <v>1790.0749999999998</v>
      </c>
      <c r="E23" s="7">
        <v>357.42999999999995</v>
      </c>
      <c r="F23" s="5">
        <v>2012.5949999999998</v>
      </c>
      <c r="G23" s="7">
        <v>355.34</v>
      </c>
      <c r="H23" s="5">
        <v>1336.335</v>
      </c>
      <c r="I23" s="7">
        <v>140.88</v>
      </c>
      <c r="J23" s="5">
        <v>1280.6799999999998</v>
      </c>
    </row>
    <row r="24" spans="1:10" x14ac:dyDescent="0.3">
      <c r="B24" t="s">
        <v>6218</v>
      </c>
      <c r="C24" s="7">
        <v>430.62</v>
      </c>
      <c r="D24" s="5">
        <v>2220.6949999999997</v>
      </c>
      <c r="E24" s="7">
        <v>227.42500000000001</v>
      </c>
      <c r="F24" s="5">
        <v>2240.02</v>
      </c>
      <c r="G24" s="7">
        <v>236.315</v>
      </c>
      <c r="H24" s="5">
        <v>1572.65</v>
      </c>
      <c r="I24" s="7">
        <v>414.58499999999992</v>
      </c>
      <c r="J24" s="5">
        <v>1695.2649999999999</v>
      </c>
    </row>
    <row r="25" spans="1:10" x14ac:dyDescent="0.3">
      <c r="B25" t="s">
        <v>6215</v>
      </c>
      <c r="C25" s="7">
        <v>22.5</v>
      </c>
      <c r="D25" s="5">
        <v>2243.1949999999997</v>
      </c>
      <c r="E25" s="7">
        <v>77.72</v>
      </c>
      <c r="F25" s="5">
        <v>2317.7399999999998</v>
      </c>
      <c r="G25" s="7">
        <v>60.5</v>
      </c>
      <c r="H25" s="5">
        <v>1633.15</v>
      </c>
      <c r="I25" s="7">
        <v>139.67999999999998</v>
      </c>
      <c r="J25" s="5">
        <v>1834.9449999999999</v>
      </c>
    </row>
    <row r="26" spans="1:10" x14ac:dyDescent="0.3">
      <c r="B26" t="s">
        <v>6216</v>
      </c>
      <c r="C26" s="7">
        <v>126.14999999999999</v>
      </c>
      <c r="D26" s="5">
        <v>2369.3449999999998</v>
      </c>
      <c r="E26" s="7">
        <v>195.11</v>
      </c>
      <c r="F26" s="5">
        <v>2512.85</v>
      </c>
      <c r="G26" s="7">
        <v>89.13</v>
      </c>
      <c r="H26" s="5">
        <v>1722.2800000000002</v>
      </c>
      <c r="I26" s="7">
        <v>302.65999999999997</v>
      </c>
      <c r="J26" s="5">
        <v>2137.605</v>
      </c>
    </row>
    <row r="27" spans="1:10" x14ac:dyDescent="0.3">
      <c r="B27" t="s">
        <v>6204</v>
      </c>
      <c r="C27" s="7">
        <v>376.03</v>
      </c>
      <c r="D27" s="5">
        <v>2745.375</v>
      </c>
      <c r="E27" s="7">
        <v>523.24</v>
      </c>
      <c r="F27" s="5">
        <v>3036.09</v>
      </c>
      <c r="G27" s="7">
        <v>440.96499999999997</v>
      </c>
      <c r="H27" s="5">
        <v>2163.2450000000003</v>
      </c>
      <c r="I27" s="7">
        <v>174.46999999999997</v>
      </c>
      <c r="J27" s="5">
        <v>2312.0749999999998</v>
      </c>
    </row>
    <row r="28" spans="1:10" x14ac:dyDescent="0.3">
      <c r="B28" t="s">
        <v>6205</v>
      </c>
      <c r="C28" s="7">
        <v>515.17999999999995</v>
      </c>
      <c r="D28" s="5">
        <v>3260.5549999999998</v>
      </c>
      <c r="E28" s="7">
        <v>142.56</v>
      </c>
      <c r="F28" s="5">
        <v>3178.65</v>
      </c>
      <c r="G28" s="7">
        <v>347.03999999999996</v>
      </c>
      <c r="H28" s="5">
        <v>2510.2850000000003</v>
      </c>
      <c r="I28" s="7">
        <v>104.08499999999999</v>
      </c>
      <c r="J28" s="5">
        <v>2416.16</v>
      </c>
    </row>
    <row r="29" spans="1:10" x14ac:dyDescent="0.3">
      <c r="B29" t="s">
        <v>6206</v>
      </c>
      <c r="C29" s="7">
        <v>95.859999999999985</v>
      </c>
      <c r="D29" s="5">
        <v>3356.415</v>
      </c>
      <c r="E29" s="7">
        <v>484.76</v>
      </c>
      <c r="F29" s="5">
        <v>3663.41</v>
      </c>
      <c r="G29" s="7">
        <v>94.17</v>
      </c>
      <c r="H29" s="5">
        <v>2604.4550000000004</v>
      </c>
      <c r="I29" s="7">
        <v>77.10499999999999</v>
      </c>
      <c r="J29" s="5">
        <v>2493.2649999999999</v>
      </c>
    </row>
    <row r="30" spans="1:10" x14ac:dyDescent="0.3">
      <c r="A30" t="s">
        <v>6219</v>
      </c>
      <c r="B30" t="s">
        <v>6199</v>
      </c>
      <c r="C30" s="7">
        <v>258.34500000000003</v>
      </c>
      <c r="D30" s="5">
        <v>258.34500000000003</v>
      </c>
      <c r="E30" s="7">
        <v>139.625</v>
      </c>
      <c r="F30" s="5">
        <v>139.625</v>
      </c>
      <c r="G30" s="7">
        <v>279.52000000000004</v>
      </c>
      <c r="H30" s="5">
        <v>279.52000000000004</v>
      </c>
      <c r="I30" s="7">
        <v>160.19499999999999</v>
      </c>
      <c r="J30" s="5">
        <v>160.19499999999999</v>
      </c>
    </row>
    <row r="31" spans="1:10" x14ac:dyDescent="0.3">
      <c r="B31" t="s">
        <v>6200</v>
      </c>
      <c r="C31" s="7">
        <v>342.2</v>
      </c>
      <c r="D31" s="5">
        <v>600.54500000000007</v>
      </c>
      <c r="E31" s="7">
        <v>284.24999999999994</v>
      </c>
      <c r="F31" s="5">
        <v>423.87499999999994</v>
      </c>
      <c r="G31" s="7">
        <v>251.83</v>
      </c>
      <c r="H31" s="5">
        <v>531.35</v>
      </c>
      <c r="I31" s="7">
        <v>80.550000000000011</v>
      </c>
      <c r="J31" s="5">
        <v>240.745</v>
      </c>
    </row>
    <row r="32" spans="1:10" x14ac:dyDescent="0.3">
      <c r="B32" t="s">
        <v>6201</v>
      </c>
      <c r="C32" s="7">
        <v>418.30499999999989</v>
      </c>
      <c r="D32" s="5">
        <v>1018.8499999999999</v>
      </c>
      <c r="E32" s="7">
        <v>468.125</v>
      </c>
      <c r="F32" s="5">
        <v>892</v>
      </c>
      <c r="G32" s="7">
        <v>405.05500000000006</v>
      </c>
      <c r="H32" s="5">
        <v>936.40500000000009</v>
      </c>
      <c r="I32" s="7">
        <v>253.15499999999997</v>
      </c>
      <c r="J32" s="5">
        <v>493.9</v>
      </c>
    </row>
    <row r="33" spans="1:10" x14ac:dyDescent="0.3">
      <c r="B33" t="s">
        <v>6202</v>
      </c>
      <c r="C33" s="7">
        <v>102.32999999999998</v>
      </c>
      <c r="D33" s="5">
        <v>1121.1799999999998</v>
      </c>
      <c r="E33" s="7">
        <v>242.14000000000001</v>
      </c>
      <c r="F33" s="5">
        <v>1134.1400000000001</v>
      </c>
      <c r="G33" s="7">
        <v>554.875</v>
      </c>
      <c r="H33" s="5">
        <v>1491.2800000000002</v>
      </c>
      <c r="I33" s="7">
        <v>106.23999999999998</v>
      </c>
      <c r="J33" s="5">
        <v>600.14</v>
      </c>
    </row>
    <row r="34" spans="1:10" x14ac:dyDescent="0.3">
      <c r="B34" t="s">
        <v>6203</v>
      </c>
      <c r="C34" s="7">
        <v>234.71999999999997</v>
      </c>
      <c r="D34" s="5">
        <v>1355.8999999999999</v>
      </c>
      <c r="E34" s="7">
        <v>133.08000000000001</v>
      </c>
      <c r="F34" s="5">
        <v>1267.22</v>
      </c>
      <c r="G34" s="7">
        <v>267.2</v>
      </c>
      <c r="H34" s="5">
        <v>1758.4800000000002</v>
      </c>
      <c r="I34" s="7">
        <v>272.68999999999994</v>
      </c>
      <c r="J34" s="5">
        <v>872.82999999999993</v>
      </c>
    </row>
    <row r="35" spans="1:10" x14ac:dyDescent="0.3">
      <c r="B35" t="s">
        <v>6217</v>
      </c>
      <c r="C35" s="7">
        <v>430.39</v>
      </c>
      <c r="D35" s="5">
        <v>1786.29</v>
      </c>
      <c r="E35" s="7">
        <v>136.20500000000001</v>
      </c>
      <c r="F35" s="5">
        <v>1403.425</v>
      </c>
      <c r="G35" s="7">
        <v>209.6</v>
      </c>
      <c r="H35" s="5">
        <v>1968.0800000000002</v>
      </c>
      <c r="I35" s="7">
        <v>88.334999999999994</v>
      </c>
      <c r="J35" s="5">
        <v>961.16499999999996</v>
      </c>
    </row>
    <row r="36" spans="1:10" x14ac:dyDescent="0.3">
      <c r="B36" t="s">
        <v>6218</v>
      </c>
      <c r="C36" s="7">
        <v>109.005</v>
      </c>
      <c r="D36" s="5">
        <v>1895.2950000000001</v>
      </c>
      <c r="E36" s="7">
        <v>393.57499999999999</v>
      </c>
      <c r="F36" s="5">
        <v>1797</v>
      </c>
      <c r="G36" s="7">
        <v>61.034999999999997</v>
      </c>
      <c r="H36" s="5">
        <v>2029.1150000000002</v>
      </c>
      <c r="I36" s="7">
        <v>199.48999999999998</v>
      </c>
      <c r="J36" s="5">
        <v>1160.655</v>
      </c>
    </row>
    <row r="37" spans="1:10" x14ac:dyDescent="0.3">
      <c r="B37" t="s">
        <v>6215</v>
      </c>
      <c r="C37" s="7">
        <v>287.52499999999998</v>
      </c>
      <c r="D37" s="5">
        <v>2182.8200000000002</v>
      </c>
      <c r="E37" s="7">
        <v>288.67</v>
      </c>
      <c r="F37" s="5">
        <v>2085.67</v>
      </c>
      <c r="G37" s="7">
        <v>125.58</v>
      </c>
      <c r="H37" s="5">
        <v>2154.6950000000002</v>
      </c>
      <c r="I37" s="7">
        <v>374.13499999999999</v>
      </c>
      <c r="J37" s="5">
        <v>1534.79</v>
      </c>
    </row>
    <row r="38" spans="1:10" x14ac:dyDescent="0.3">
      <c r="B38" t="s">
        <v>6216</v>
      </c>
      <c r="C38" s="7">
        <v>840.92999999999984</v>
      </c>
      <c r="D38" s="5">
        <v>3023.75</v>
      </c>
      <c r="E38" s="7">
        <v>409.875</v>
      </c>
      <c r="F38" s="5">
        <v>2495.5450000000001</v>
      </c>
      <c r="G38" s="7">
        <v>171.32999999999998</v>
      </c>
      <c r="H38" s="5">
        <v>2326.0250000000001</v>
      </c>
      <c r="I38" s="7">
        <v>221.43999999999997</v>
      </c>
      <c r="J38" s="5">
        <v>1756.23</v>
      </c>
    </row>
    <row r="39" spans="1:10" x14ac:dyDescent="0.3">
      <c r="B39" t="s">
        <v>6204</v>
      </c>
      <c r="C39" s="7">
        <v>299.07</v>
      </c>
      <c r="D39" s="5">
        <v>3322.82</v>
      </c>
      <c r="E39" s="7">
        <v>260.32499999999999</v>
      </c>
      <c r="F39" s="5">
        <v>2755.87</v>
      </c>
      <c r="G39" s="7">
        <v>584.64</v>
      </c>
      <c r="H39" s="5">
        <v>2910.665</v>
      </c>
      <c r="I39" s="7">
        <v>256.36500000000001</v>
      </c>
      <c r="J39" s="5">
        <v>2012.595</v>
      </c>
    </row>
    <row r="40" spans="1:10" x14ac:dyDescent="0.3">
      <c r="B40" t="s">
        <v>6205</v>
      </c>
      <c r="C40" s="7">
        <v>323.32499999999999</v>
      </c>
      <c r="D40" s="5">
        <v>3646.145</v>
      </c>
      <c r="E40" s="7">
        <v>565.57000000000005</v>
      </c>
      <c r="F40" s="5">
        <v>3321.44</v>
      </c>
      <c r="G40" s="7">
        <v>537.80999999999995</v>
      </c>
      <c r="H40" s="5">
        <v>3448.4749999999999</v>
      </c>
      <c r="I40" s="7">
        <v>189.47499999999999</v>
      </c>
      <c r="J40" s="5">
        <v>2202.0700000000002</v>
      </c>
    </row>
    <row r="41" spans="1:10" x14ac:dyDescent="0.3">
      <c r="B41" t="s">
        <v>6206</v>
      </c>
      <c r="C41" s="7">
        <v>399.48499999999996</v>
      </c>
      <c r="D41" s="5">
        <v>4045.63</v>
      </c>
      <c r="E41" s="7">
        <v>148.19999999999999</v>
      </c>
      <c r="F41" s="5">
        <v>3469.64</v>
      </c>
      <c r="G41" s="7">
        <v>388.21999999999997</v>
      </c>
      <c r="H41" s="5">
        <v>3836.6949999999997</v>
      </c>
      <c r="I41" s="7">
        <v>212.07499999999999</v>
      </c>
      <c r="J41" s="5">
        <v>2414.145</v>
      </c>
    </row>
    <row r="42" spans="1:10" x14ac:dyDescent="0.3">
      <c r="A42" t="s">
        <v>6220</v>
      </c>
      <c r="B42" t="s">
        <v>6199</v>
      </c>
      <c r="C42" s="7">
        <v>112.69499999999999</v>
      </c>
      <c r="D42" s="5">
        <v>112.69499999999999</v>
      </c>
      <c r="E42" s="7">
        <v>166.32</v>
      </c>
      <c r="F42" s="5">
        <v>166.32</v>
      </c>
      <c r="G42" s="7">
        <v>843.71499999999992</v>
      </c>
      <c r="H42" s="5">
        <v>843.71499999999992</v>
      </c>
      <c r="I42" s="7">
        <v>146.685</v>
      </c>
      <c r="J42" s="5">
        <v>146.685</v>
      </c>
    </row>
    <row r="43" spans="1:10" x14ac:dyDescent="0.3">
      <c r="B43" t="s">
        <v>6200</v>
      </c>
      <c r="C43" s="7">
        <v>114.87999999999998</v>
      </c>
      <c r="D43" s="5">
        <v>227.57499999999999</v>
      </c>
      <c r="E43" s="7">
        <v>133.815</v>
      </c>
      <c r="F43" s="5">
        <v>300.13499999999999</v>
      </c>
      <c r="G43" s="7">
        <v>91.175000000000011</v>
      </c>
      <c r="H43" s="5">
        <v>934.88999999999987</v>
      </c>
      <c r="I43" s="7">
        <v>53.759999999999991</v>
      </c>
      <c r="J43" s="5">
        <v>200.44499999999999</v>
      </c>
    </row>
    <row r="44" spans="1:10" x14ac:dyDescent="0.3">
      <c r="B44" t="s">
        <v>6201</v>
      </c>
      <c r="C44" s="7">
        <v>277.76</v>
      </c>
      <c r="D44" s="5">
        <v>505.33499999999998</v>
      </c>
      <c r="E44" s="7">
        <v>175.41</v>
      </c>
      <c r="F44" s="5">
        <v>475.54499999999996</v>
      </c>
      <c r="G44" s="7">
        <v>462.50999999999993</v>
      </c>
      <c r="H44" s="5">
        <v>1397.3999999999999</v>
      </c>
      <c r="I44" s="7">
        <v>399.52499999999998</v>
      </c>
      <c r="J44" s="5">
        <v>599.97</v>
      </c>
    </row>
    <row r="45" spans="1:10" x14ac:dyDescent="0.3">
      <c r="B45" t="s">
        <v>6202</v>
      </c>
      <c r="C45" s="7">
        <v>197.89499999999998</v>
      </c>
      <c r="D45" s="5">
        <v>703.23</v>
      </c>
      <c r="E45" s="7">
        <v>289.755</v>
      </c>
      <c r="F45" s="5">
        <v>765.3</v>
      </c>
      <c r="G45" s="7">
        <v>88.545000000000002</v>
      </c>
      <c r="H45" s="5">
        <v>1485.9449999999999</v>
      </c>
      <c r="I45" s="7">
        <v>200.25499999999997</v>
      </c>
      <c r="J45" s="5">
        <v>800.22500000000002</v>
      </c>
    </row>
    <row r="46" spans="1:10" x14ac:dyDescent="0.3">
      <c r="B46" t="s">
        <v>6203</v>
      </c>
      <c r="C46" s="7">
        <v>193.11499999999998</v>
      </c>
      <c r="D46" s="5">
        <v>896.34500000000003</v>
      </c>
      <c r="E46" s="7">
        <v>212.49499999999998</v>
      </c>
      <c r="F46" s="5">
        <v>977.79499999999996</v>
      </c>
      <c r="G46" s="7">
        <v>292.29000000000002</v>
      </c>
      <c r="H46" s="5">
        <v>1778.2349999999999</v>
      </c>
      <c r="I46" s="7">
        <v>304.46999999999997</v>
      </c>
      <c r="J46" s="5">
        <v>1104.6949999999999</v>
      </c>
    </row>
    <row r="47" spans="1:10" x14ac:dyDescent="0.3">
      <c r="B47" t="s">
        <v>6217</v>
      </c>
      <c r="C47" s="7">
        <v>179.79</v>
      </c>
      <c r="D47" s="5">
        <v>1076.135</v>
      </c>
      <c r="E47" s="7">
        <v>426.2</v>
      </c>
      <c r="F47" s="5">
        <v>1403.9949999999999</v>
      </c>
      <c r="G47" s="7">
        <v>170.08999999999997</v>
      </c>
      <c r="H47" s="5">
        <v>1948.3249999999998</v>
      </c>
      <c r="I47" s="7">
        <v>379.31</v>
      </c>
      <c r="J47" s="5">
        <v>1484.0049999999999</v>
      </c>
    </row>
    <row r="48" spans="1:10" x14ac:dyDescent="0.3">
      <c r="B48" t="s">
        <v>6218</v>
      </c>
      <c r="C48" s="7">
        <v>247.28999999999996</v>
      </c>
      <c r="D48" s="5">
        <v>1323.425</v>
      </c>
      <c r="E48" s="7">
        <v>246.685</v>
      </c>
      <c r="F48" s="5">
        <v>1650.6799999999998</v>
      </c>
      <c r="G48" s="7">
        <v>271.05499999999995</v>
      </c>
      <c r="H48" s="5">
        <v>2219.3799999999997</v>
      </c>
      <c r="I48" s="7">
        <v>141.69999999999999</v>
      </c>
      <c r="J48" s="5">
        <v>1625.7049999999999</v>
      </c>
    </row>
    <row r="49" spans="2:10" x14ac:dyDescent="0.3">
      <c r="B49" t="s">
        <v>6215</v>
      </c>
      <c r="C49" s="7">
        <v>116.39499999999998</v>
      </c>
      <c r="D49" s="5">
        <v>1439.82</v>
      </c>
      <c r="E49" s="7">
        <v>41.25</v>
      </c>
      <c r="F49" s="5">
        <v>1691.9299999999998</v>
      </c>
      <c r="G49" s="7">
        <v>15.54</v>
      </c>
      <c r="H49" s="5">
        <v>2234.9199999999996</v>
      </c>
      <c r="I49" s="7">
        <v>71.06</v>
      </c>
      <c r="J49" s="5">
        <v>1696.7649999999999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0F14-9E07-4DC8-BF3C-CF4D2DA882AA}">
  <dimension ref="A3:J49"/>
  <sheetViews>
    <sheetView zoomScale="47" workbookViewId="0">
      <selection activeCell="N20" sqref="N20"/>
    </sheetView>
  </sheetViews>
  <sheetFormatPr defaultRowHeight="14.4" x14ac:dyDescent="0.3"/>
  <cols>
    <col min="1" max="1" width="13.109375" bestFit="1" customWidth="1"/>
    <col min="2" max="2" width="21.88671875" bestFit="1" customWidth="1"/>
    <col min="3" max="10" width="19.33203125" bestFit="1" customWidth="1"/>
  </cols>
  <sheetData>
    <row r="3" spans="1:10" x14ac:dyDescent="0.3">
      <c r="C3" s="6" t="s">
        <v>6196</v>
      </c>
      <c r="D3" s="6" t="s">
        <v>6222</v>
      </c>
    </row>
    <row r="4" spans="1:10" x14ac:dyDescent="0.3">
      <c r="C4" t="s">
        <v>6210</v>
      </c>
      <c r="E4" t="s">
        <v>6211</v>
      </c>
      <c r="G4" t="s">
        <v>6212</v>
      </c>
      <c r="I4" t="s">
        <v>6213</v>
      </c>
    </row>
    <row r="5" spans="1:10" x14ac:dyDescent="0.3">
      <c r="A5" s="6" t="s">
        <v>6208</v>
      </c>
      <c r="B5" s="6" t="s">
        <v>6209</v>
      </c>
      <c r="C5" t="s">
        <v>6221</v>
      </c>
      <c r="D5" t="s">
        <v>6214</v>
      </c>
      <c r="E5" t="s">
        <v>6221</v>
      </c>
      <c r="F5" t="s">
        <v>6214</v>
      </c>
      <c r="G5" t="s">
        <v>6221</v>
      </c>
      <c r="H5" t="s">
        <v>6214</v>
      </c>
      <c r="I5" t="s">
        <v>6221</v>
      </c>
      <c r="J5" t="s">
        <v>6214</v>
      </c>
    </row>
    <row r="6" spans="1:10" x14ac:dyDescent="0.3">
      <c r="A6" t="s">
        <v>6198</v>
      </c>
      <c r="B6" t="s">
        <v>6199</v>
      </c>
      <c r="C6" s="9"/>
      <c r="D6" s="5">
        <v>186.85499999999999</v>
      </c>
      <c r="E6" s="9"/>
      <c r="F6" s="5">
        <v>305.97000000000003</v>
      </c>
      <c r="G6" s="9"/>
      <c r="H6" s="5">
        <v>213.15999999999997</v>
      </c>
      <c r="I6" s="9"/>
      <c r="J6" s="5">
        <v>123</v>
      </c>
    </row>
    <row r="7" spans="1:10" x14ac:dyDescent="0.3">
      <c r="B7" t="s">
        <v>6200</v>
      </c>
      <c r="C7" s="9"/>
      <c r="D7" s="5">
        <v>251.96499999999997</v>
      </c>
      <c r="E7" s="9"/>
      <c r="F7" s="5">
        <v>129.46</v>
      </c>
      <c r="G7" s="9"/>
      <c r="H7" s="5">
        <v>434.03999999999996</v>
      </c>
      <c r="I7" s="9"/>
      <c r="J7" s="5">
        <v>171.93999999999997</v>
      </c>
    </row>
    <row r="8" spans="1:10" x14ac:dyDescent="0.3">
      <c r="B8" t="s">
        <v>6201</v>
      </c>
      <c r="C8" s="9"/>
      <c r="D8" s="5">
        <v>224.94499999999999</v>
      </c>
      <c r="E8" s="9"/>
      <c r="F8" s="5">
        <v>349.12</v>
      </c>
      <c r="G8" s="9"/>
      <c r="H8" s="5">
        <v>321.04000000000002</v>
      </c>
      <c r="I8" s="9"/>
      <c r="J8" s="5">
        <v>126.035</v>
      </c>
    </row>
    <row r="9" spans="1:10" x14ac:dyDescent="0.3">
      <c r="B9" t="s">
        <v>6202</v>
      </c>
      <c r="C9" s="9"/>
      <c r="D9" s="5">
        <v>307.12</v>
      </c>
      <c r="E9" s="9"/>
      <c r="F9" s="5">
        <v>681.07499999999993</v>
      </c>
      <c r="G9" s="9"/>
      <c r="H9" s="5">
        <v>533.70499999999993</v>
      </c>
      <c r="I9" s="9"/>
      <c r="J9" s="5">
        <v>158.85</v>
      </c>
    </row>
    <row r="10" spans="1:10" x14ac:dyDescent="0.3">
      <c r="B10" t="s">
        <v>6203</v>
      </c>
      <c r="C10" s="9"/>
      <c r="D10" s="5">
        <v>53.664999999999992</v>
      </c>
      <c r="E10" s="9"/>
      <c r="F10" s="5">
        <v>83.025000000000006</v>
      </c>
      <c r="G10" s="9"/>
      <c r="H10" s="5">
        <v>193.83499999999998</v>
      </c>
      <c r="I10" s="9"/>
      <c r="J10" s="5">
        <v>68.039999999999992</v>
      </c>
    </row>
    <row r="11" spans="1:10" x14ac:dyDescent="0.3">
      <c r="B11" t="s">
        <v>6217</v>
      </c>
      <c r="C11" s="9"/>
      <c r="D11" s="5">
        <v>163.01999999999998</v>
      </c>
      <c r="E11" s="9"/>
      <c r="F11" s="5">
        <v>678.3599999999999</v>
      </c>
      <c r="G11" s="9"/>
      <c r="H11" s="5">
        <v>171.04500000000002</v>
      </c>
      <c r="I11" s="9"/>
      <c r="J11" s="5">
        <v>372.255</v>
      </c>
    </row>
    <row r="12" spans="1:10" x14ac:dyDescent="0.3">
      <c r="B12" t="s">
        <v>6218</v>
      </c>
      <c r="C12" s="9"/>
      <c r="D12" s="5">
        <v>345.02</v>
      </c>
      <c r="E12" s="9"/>
      <c r="F12" s="5">
        <v>273.86999999999995</v>
      </c>
      <c r="G12" s="9"/>
      <c r="H12" s="5">
        <v>184.12999999999997</v>
      </c>
      <c r="I12" s="9"/>
      <c r="J12" s="5">
        <v>201.11499999999998</v>
      </c>
    </row>
    <row r="13" spans="1:10" x14ac:dyDescent="0.3">
      <c r="B13" t="s">
        <v>6215</v>
      </c>
      <c r="C13" s="9"/>
      <c r="D13" s="5">
        <v>334.89</v>
      </c>
      <c r="E13" s="9"/>
      <c r="F13" s="5">
        <v>70.95</v>
      </c>
      <c r="G13" s="9"/>
      <c r="H13" s="5">
        <v>134.23000000000002</v>
      </c>
      <c r="I13" s="9"/>
      <c r="J13" s="5">
        <v>166.27499999999998</v>
      </c>
    </row>
    <row r="14" spans="1:10" x14ac:dyDescent="0.3">
      <c r="B14" t="s">
        <v>6216</v>
      </c>
      <c r="C14" s="9"/>
      <c r="D14" s="5">
        <v>178.70999999999998</v>
      </c>
      <c r="E14" s="9"/>
      <c r="F14" s="5">
        <v>166.1</v>
      </c>
      <c r="G14" s="9"/>
      <c r="H14" s="5">
        <v>439.30999999999995</v>
      </c>
      <c r="I14" s="9"/>
      <c r="J14" s="5">
        <v>492.9</v>
      </c>
    </row>
    <row r="15" spans="1:10" x14ac:dyDescent="0.3">
      <c r="B15" t="s">
        <v>6204</v>
      </c>
      <c r="C15" s="9"/>
      <c r="D15" s="5">
        <v>301.98500000000001</v>
      </c>
      <c r="E15" s="9"/>
      <c r="F15" s="5">
        <v>153.76499999999999</v>
      </c>
      <c r="G15" s="9"/>
      <c r="H15" s="5">
        <v>215.55499999999998</v>
      </c>
      <c r="I15" s="9"/>
      <c r="J15" s="5">
        <v>213.66499999999999</v>
      </c>
    </row>
    <row r="16" spans="1:10" x14ac:dyDescent="0.3">
      <c r="B16" t="s">
        <v>6205</v>
      </c>
      <c r="C16" s="9"/>
      <c r="D16" s="5">
        <v>312.83499999999998</v>
      </c>
      <c r="E16" s="9"/>
      <c r="F16" s="5">
        <v>63.249999999999993</v>
      </c>
      <c r="G16" s="9"/>
      <c r="H16" s="5">
        <v>350.89500000000004</v>
      </c>
      <c r="I16" s="9"/>
      <c r="J16" s="5">
        <v>96.405000000000001</v>
      </c>
    </row>
    <row r="17" spans="1:10" x14ac:dyDescent="0.3">
      <c r="B17" t="s">
        <v>6206</v>
      </c>
      <c r="C17" s="9"/>
      <c r="D17" s="5">
        <v>265.62</v>
      </c>
      <c r="E17" s="9"/>
      <c r="F17" s="5">
        <v>526.51499999999987</v>
      </c>
      <c r="G17" s="9"/>
      <c r="H17" s="5">
        <v>187.06</v>
      </c>
      <c r="I17" s="9"/>
      <c r="J17" s="5">
        <v>210.58999999999997</v>
      </c>
    </row>
    <row r="18" spans="1:10" x14ac:dyDescent="0.3">
      <c r="A18" t="s">
        <v>6207</v>
      </c>
      <c r="B18" t="s">
        <v>6199</v>
      </c>
      <c r="C18" s="9">
        <v>-0.74713012763907838</v>
      </c>
      <c r="D18" s="5">
        <v>47.25</v>
      </c>
      <c r="E18" s="9">
        <v>-0.78492989508775368</v>
      </c>
      <c r="F18" s="5">
        <v>65.805000000000007</v>
      </c>
      <c r="G18" s="9">
        <v>0.28858603865640858</v>
      </c>
      <c r="H18" s="5">
        <v>274.67500000000001</v>
      </c>
      <c r="I18" s="9">
        <v>0.45707317073170733</v>
      </c>
      <c r="J18" s="5">
        <v>179.22</v>
      </c>
    </row>
    <row r="19" spans="1:10" x14ac:dyDescent="0.3">
      <c r="B19" t="s">
        <v>6200</v>
      </c>
      <c r="C19" s="9">
        <v>1.9585458297779454</v>
      </c>
      <c r="D19" s="5">
        <v>745.44999999999993</v>
      </c>
      <c r="E19" s="9">
        <v>2.3128765641897107</v>
      </c>
      <c r="F19" s="5">
        <v>428.88499999999999</v>
      </c>
      <c r="G19" s="9">
        <v>-0.55263339784351673</v>
      </c>
      <c r="H19" s="5">
        <v>194.17499999999998</v>
      </c>
      <c r="I19" s="9">
        <v>1.499883680353612</v>
      </c>
      <c r="J19" s="5">
        <v>429.82999999999993</v>
      </c>
    </row>
    <row r="20" spans="1:10" x14ac:dyDescent="0.3">
      <c r="B20" t="s">
        <v>6201</v>
      </c>
      <c r="C20" s="9">
        <v>-0.41999155349085332</v>
      </c>
      <c r="D20" s="5">
        <v>130.47</v>
      </c>
      <c r="E20" s="9">
        <v>-0.22237339596700273</v>
      </c>
      <c r="F20" s="5">
        <v>271.48500000000001</v>
      </c>
      <c r="G20" s="9">
        <v>-0.12408111138798913</v>
      </c>
      <c r="H20" s="5">
        <v>281.20499999999998</v>
      </c>
      <c r="I20" s="9">
        <v>0.83782282699250232</v>
      </c>
      <c r="J20" s="5">
        <v>231.63000000000002</v>
      </c>
    </row>
    <row r="21" spans="1:10" x14ac:dyDescent="0.3">
      <c r="B21" t="s">
        <v>6202</v>
      </c>
      <c r="C21" s="9">
        <v>-0.91208648085438915</v>
      </c>
      <c r="D21" s="5">
        <v>27</v>
      </c>
      <c r="E21" s="9">
        <v>-0.4901295745696142</v>
      </c>
      <c r="F21" s="5">
        <v>347.26</v>
      </c>
      <c r="G21" s="9">
        <v>-0.7236113583346605</v>
      </c>
      <c r="H21" s="5">
        <v>147.51</v>
      </c>
      <c r="I21" s="9">
        <v>0.51111111111111107</v>
      </c>
      <c r="J21" s="5">
        <v>240.04</v>
      </c>
    </row>
    <row r="22" spans="1:10" x14ac:dyDescent="0.3">
      <c r="B22" t="s">
        <v>6203</v>
      </c>
      <c r="C22" s="9">
        <v>3.7538432870586043</v>
      </c>
      <c r="D22" s="5">
        <v>255.11499999999995</v>
      </c>
      <c r="E22" s="9">
        <v>5.5249021379102681</v>
      </c>
      <c r="F22" s="5">
        <v>541.73</v>
      </c>
      <c r="G22" s="9">
        <v>-0.56958237676374224</v>
      </c>
      <c r="H22" s="5">
        <v>83.43</v>
      </c>
      <c r="I22" s="9">
        <v>-0.13168724279835395</v>
      </c>
      <c r="J22" s="5">
        <v>59.079999999999991</v>
      </c>
    </row>
    <row r="23" spans="1:10" x14ac:dyDescent="0.3">
      <c r="B23" t="s">
        <v>6217</v>
      </c>
      <c r="C23" s="9">
        <v>2.587228560912771</v>
      </c>
      <c r="D23" s="5">
        <v>584.78999999999985</v>
      </c>
      <c r="E23" s="9">
        <v>-0.47309688071230616</v>
      </c>
      <c r="F23" s="5">
        <v>357.42999999999995</v>
      </c>
      <c r="G23" s="9">
        <v>1.077464994592066</v>
      </c>
      <c r="H23" s="5">
        <v>355.34</v>
      </c>
      <c r="I23" s="9">
        <v>-0.6215497441270097</v>
      </c>
      <c r="J23" s="5">
        <v>140.88</v>
      </c>
    </row>
    <row r="24" spans="1:10" x14ac:dyDescent="0.3">
      <c r="B24" t="s">
        <v>6218</v>
      </c>
      <c r="C24" s="9">
        <v>0.248101559329894</v>
      </c>
      <c r="D24" s="5">
        <v>430.62</v>
      </c>
      <c r="E24" s="9">
        <v>-0.16958776061635061</v>
      </c>
      <c r="F24" s="5">
        <v>227.42500000000001</v>
      </c>
      <c r="G24" s="9">
        <v>0.28341389235865988</v>
      </c>
      <c r="H24" s="5">
        <v>236.315</v>
      </c>
      <c r="I24" s="9">
        <v>1.061432513735922</v>
      </c>
      <c r="J24" s="5">
        <v>414.58499999999992</v>
      </c>
    </row>
    <row r="25" spans="1:10" x14ac:dyDescent="0.3">
      <c r="B25" t="s">
        <v>6215</v>
      </c>
      <c r="C25" s="9">
        <v>-0.93281375974200487</v>
      </c>
      <c r="D25" s="5">
        <v>22.5</v>
      </c>
      <c r="E25" s="9">
        <v>9.5419309372797689E-2</v>
      </c>
      <c r="F25" s="5">
        <v>77.72</v>
      </c>
      <c r="G25" s="9">
        <v>-0.54928108470535653</v>
      </c>
      <c r="H25" s="5">
        <v>60.5</v>
      </c>
      <c r="I25" s="9">
        <v>-0.15994587280108255</v>
      </c>
      <c r="J25" s="5">
        <v>139.67999999999998</v>
      </c>
    </row>
    <row r="26" spans="1:10" x14ac:dyDescent="0.3">
      <c r="B26" t="s">
        <v>6216</v>
      </c>
      <c r="C26" s="9">
        <v>-0.29410777236864188</v>
      </c>
      <c r="D26" s="5">
        <v>126.14999999999999</v>
      </c>
      <c r="E26" s="9">
        <v>0.17465382299819399</v>
      </c>
      <c r="F26" s="5">
        <v>195.11</v>
      </c>
      <c r="G26" s="9">
        <v>-0.79711365550522406</v>
      </c>
      <c r="H26" s="5">
        <v>89.13</v>
      </c>
      <c r="I26" s="9">
        <v>-0.38596064110367218</v>
      </c>
      <c r="J26" s="5">
        <v>302.65999999999997</v>
      </c>
    </row>
    <row r="27" spans="1:10" x14ac:dyDescent="0.3">
      <c r="B27" t="s">
        <v>6204</v>
      </c>
      <c r="C27" s="9">
        <v>0.24519429773001955</v>
      </c>
      <c r="D27" s="5">
        <v>376.03</v>
      </c>
      <c r="E27" s="9">
        <v>2.4028550060156735</v>
      </c>
      <c r="F27" s="5">
        <v>523.24</v>
      </c>
      <c r="G27" s="9">
        <v>1.0457191899979124</v>
      </c>
      <c r="H27" s="5">
        <v>440.96499999999997</v>
      </c>
      <c r="I27" s="9">
        <v>-0.1834413684974143</v>
      </c>
      <c r="J27" s="5">
        <v>174.46999999999997</v>
      </c>
    </row>
    <row r="28" spans="1:10" x14ac:dyDescent="0.3">
      <c r="B28" t="s">
        <v>6205</v>
      </c>
      <c r="C28" s="9">
        <v>0.64681061901641435</v>
      </c>
      <c r="D28" s="5">
        <v>515.17999999999995</v>
      </c>
      <c r="E28" s="9">
        <v>1.253913043478261</v>
      </c>
      <c r="F28" s="5">
        <v>142.56</v>
      </c>
      <c r="G28" s="9">
        <v>-1.0986192450733338E-2</v>
      </c>
      <c r="H28" s="5">
        <v>347.03999999999996</v>
      </c>
      <c r="I28" s="9">
        <v>7.9663917846584636E-2</v>
      </c>
      <c r="J28" s="5">
        <v>104.08499999999999</v>
      </c>
    </row>
    <row r="29" spans="1:10" x14ac:dyDescent="0.3">
      <c r="B29" t="s">
        <v>6206</v>
      </c>
      <c r="C29" s="9">
        <v>-0.63910850086589877</v>
      </c>
      <c r="D29" s="5">
        <v>95.859999999999985</v>
      </c>
      <c r="E29" s="9">
        <v>-7.9304483253088504E-2</v>
      </c>
      <c r="F29" s="5">
        <v>484.76</v>
      </c>
      <c r="G29" s="9">
        <v>-0.49657863787020207</v>
      </c>
      <c r="H29" s="5">
        <v>94.17</v>
      </c>
      <c r="I29" s="9">
        <v>-0.63386200674296023</v>
      </c>
      <c r="J29" s="5">
        <v>77.10499999999999</v>
      </c>
    </row>
    <row r="30" spans="1:10" x14ac:dyDescent="0.3">
      <c r="A30" t="s">
        <v>6219</v>
      </c>
      <c r="B30" t="s">
        <v>6199</v>
      </c>
      <c r="C30" s="9">
        <v>4.4676190476190483</v>
      </c>
      <c r="D30" s="5">
        <v>258.34500000000003</v>
      </c>
      <c r="E30" s="9">
        <v>1.121799255375731</v>
      </c>
      <c r="F30" s="5">
        <v>139.625</v>
      </c>
      <c r="G30" s="9">
        <v>1.7639027942113507E-2</v>
      </c>
      <c r="H30" s="5">
        <v>279.52000000000004</v>
      </c>
      <c r="I30" s="9">
        <v>-0.10615444704832053</v>
      </c>
      <c r="J30" s="5">
        <v>160.19499999999999</v>
      </c>
    </row>
    <row r="31" spans="1:10" x14ac:dyDescent="0.3">
      <c r="B31" t="s">
        <v>6200</v>
      </c>
      <c r="C31" s="9">
        <v>-0.5409484204171976</v>
      </c>
      <c r="D31" s="5">
        <v>342.2</v>
      </c>
      <c r="E31" s="9">
        <v>-0.33723492311458797</v>
      </c>
      <c r="F31" s="5">
        <v>284.24999999999994</v>
      </c>
      <c r="G31" s="9">
        <v>0.29692287884640162</v>
      </c>
      <c r="H31" s="5">
        <v>251.83</v>
      </c>
      <c r="I31" s="9">
        <v>-0.81260033036316681</v>
      </c>
      <c r="J31" s="5">
        <v>80.550000000000011</v>
      </c>
    </row>
    <row r="32" spans="1:10" x14ac:dyDescent="0.3">
      <c r="B32" t="s">
        <v>6201</v>
      </c>
      <c r="C32" s="9">
        <v>2.2061393423775573</v>
      </c>
      <c r="D32" s="5">
        <v>418.30499999999989</v>
      </c>
      <c r="E32" s="9">
        <v>0.72431257712212449</v>
      </c>
      <c r="F32" s="5">
        <v>468.125</v>
      </c>
      <c r="G32" s="9">
        <v>0.44042602371935097</v>
      </c>
      <c r="H32" s="5">
        <v>405.05500000000006</v>
      </c>
      <c r="I32" s="9">
        <v>9.2928377153218264E-2</v>
      </c>
      <c r="J32" s="5">
        <v>253.15499999999997</v>
      </c>
    </row>
    <row r="33" spans="1:10" x14ac:dyDescent="0.3">
      <c r="B33" t="s">
        <v>6202</v>
      </c>
      <c r="C33" s="9">
        <v>2.7899999999999996</v>
      </c>
      <c r="D33" s="5">
        <v>102.32999999999998</v>
      </c>
      <c r="E33" s="9">
        <v>-0.30271266486206294</v>
      </c>
      <c r="F33" s="5">
        <v>242.14000000000001</v>
      </c>
      <c r="G33" s="9">
        <v>2.7616093824147518</v>
      </c>
      <c r="H33" s="5">
        <v>554.875</v>
      </c>
      <c r="I33" s="9">
        <v>-0.5574070988168639</v>
      </c>
      <c r="J33" s="5">
        <v>106.23999999999998</v>
      </c>
    </row>
    <row r="34" spans="1:10" x14ac:dyDescent="0.3">
      <c r="B34" t="s">
        <v>6203</v>
      </c>
      <c r="C34" s="9">
        <v>-7.9944338827587502E-2</v>
      </c>
      <c r="D34" s="5">
        <v>234.71999999999997</v>
      </c>
      <c r="E34" s="9">
        <v>-0.75434256917652698</v>
      </c>
      <c r="F34" s="5">
        <v>133.08000000000001</v>
      </c>
      <c r="G34" s="9">
        <v>2.2026848855327814</v>
      </c>
      <c r="H34" s="5">
        <v>267.2</v>
      </c>
      <c r="I34" s="9">
        <v>3.6156059580230195</v>
      </c>
      <c r="J34" s="5">
        <v>272.68999999999994</v>
      </c>
    </row>
    <row r="35" spans="1:10" x14ac:dyDescent="0.3">
      <c r="B35" t="s">
        <v>6217</v>
      </c>
      <c r="C35" s="9">
        <v>-0.26402640264026384</v>
      </c>
      <c r="D35" s="5">
        <v>430.39</v>
      </c>
      <c r="E35" s="9">
        <v>-0.61893237836779225</v>
      </c>
      <c r="F35" s="5">
        <v>136.20500000000001</v>
      </c>
      <c r="G35" s="9">
        <v>-0.41014239882929021</v>
      </c>
      <c r="H35" s="5">
        <v>209.6</v>
      </c>
      <c r="I35" s="9">
        <v>-0.37297700170357756</v>
      </c>
      <c r="J35" s="5">
        <v>88.334999999999994</v>
      </c>
    </row>
    <row r="36" spans="1:10" x14ac:dyDescent="0.3">
      <c r="B36" t="s">
        <v>6218</v>
      </c>
      <c r="C36" s="9">
        <v>-0.74686498536993173</v>
      </c>
      <c r="D36" s="5">
        <v>109.005</v>
      </c>
      <c r="E36" s="9">
        <v>0.73057051775310533</v>
      </c>
      <c r="F36" s="5">
        <v>393.57499999999999</v>
      </c>
      <c r="G36" s="9">
        <v>-0.74172185430463577</v>
      </c>
      <c r="H36" s="5">
        <v>61.034999999999997</v>
      </c>
      <c r="I36" s="9">
        <v>-0.51882002484412115</v>
      </c>
      <c r="J36" s="5">
        <v>199.48999999999998</v>
      </c>
    </row>
    <row r="37" spans="1:10" x14ac:dyDescent="0.3">
      <c r="B37" t="s">
        <v>6215</v>
      </c>
      <c r="C37" s="9">
        <v>11.778888888888888</v>
      </c>
      <c r="D37" s="5">
        <v>287.52499999999998</v>
      </c>
      <c r="E37" s="9">
        <v>2.7142305712815236</v>
      </c>
      <c r="F37" s="5">
        <v>288.67</v>
      </c>
      <c r="G37" s="9">
        <v>1.075702479338843</v>
      </c>
      <c r="H37" s="5">
        <v>125.58</v>
      </c>
      <c r="I37" s="9">
        <v>1.6785151775486831</v>
      </c>
      <c r="J37" s="5">
        <v>374.13499999999999</v>
      </c>
    </row>
    <row r="38" spans="1:10" x14ac:dyDescent="0.3">
      <c r="B38" t="s">
        <v>6216</v>
      </c>
      <c r="C38" s="9">
        <v>5.666111771700356</v>
      </c>
      <c r="D38" s="5">
        <v>840.92999999999984</v>
      </c>
      <c r="E38" s="9">
        <v>1.1007380452052686</v>
      </c>
      <c r="F38" s="5">
        <v>409.875</v>
      </c>
      <c r="G38" s="9">
        <v>0.92224840121171314</v>
      </c>
      <c r="H38" s="5">
        <v>171.32999999999998</v>
      </c>
      <c r="I38" s="9">
        <v>-0.26835392850062778</v>
      </c>
      <c r="J38" s="5">
        <v>221.43999999999997</v>
      </c>
    </row>
    <row r="39" spans="1:10" x14ac:dyDescent="0.3">
      <c r="B39" t="s">
        <v>6204</v>
      </c>
      <c r="C39" s="9">
        <v>-0.20466452144775679</v>
      </c>
      <c r="D39" s="5">
        <v>299.07</v>
      </c>
      <c r="E39" s="9">
        <v>-0.50247496368779143</v>
      </c>
      <c r="F39" s="5">
        <v>260.32499999999999</v>
      </c>
      <c r="G39" s="9">
        <v>0.32581950948487981</v>
      </c>
      <c r="H39" s="5">
        <v>584.64</v>
      </c>
      <c r="I39" s="9">
        <v>0.46939301885711043</v>
      </c>
      <c r="J39" s="5">
        <v>256.36500000000001</v>
      </c>
    </row>
    <row r="40" spans="1:10" x14ac:dyDescent="0.3">
      <c r="B40" t="s">
        <v>6205</v>
      </c>
      <c r="C40" s="9">
        <v>-0.37240382002406924</v>
      </c>
      <c r="D40" s="5">
        <v>323.32499999999999</v>
      </c>
      <c r="E40" s="9">
        <v>2.9672418630751967</v>
      </c>
      <c r="F40" s="5">
        <v>565.57000000000005</v>
      </c>
      <c r="G40" s="9">
        <v>0.54970608575380364</v>
      </c>
      <c r="H40" s="5">
        <v>537.80999999999995</v>
      </c>
      <c r="I40" s="9">
        <v>0.82038718355190476</v>
      </c>
      <c r="J40" s="5">
        <v>189.47499999999999</v>
      </c>
    </row>
    <row r="41" spans="1:10" x14ac:dyDescent="0.3">
      <c r="B41" t="s">
        <v>6206</v>
      </c>
      <c r="C41" s="9">
        <v>3.1673795117880248</v>
      </c>
      <c r="D41" s="5">
        <v>399.48499999999996</v>
      </c>
      <c r="E41" s="9">
        <v>-0.69428170641142006</v>
      </c>
      <c r="F41" s="5">
        <v>148.19999999999999</v>
      </c>
      <c r="G41" s="9">
        <v>3.1225443347138149</v>
      </c>
      <c r="H41" s="5">
        <v>388.21999999999997</v>
      </c>
      <c r="I41" s="9">
        <v>1.7504701381233385</v>
      </c>
      <c r="J41" s="5">
        <v>212.07499999999999</v>
      </c>
    </row>
    <row r="42" spans="1:10" x14ac:dyDescent="0.3">
      <c r="A42" t="s">
        <v>6220</v>
      </c>
      <c r="B42" t="s">
        <v>6199</v>
      </c>
      <c r="C42" s="9">
        <v>-0.56378099053591135</v>
      </c>
      <c r="D42" s="5">
        <v>112.69499999999999</v>
      </c>
      <c r="E42" s="9">
        <v>0.19119068934646369</v>
      </c>
      <c r="F42" s="5">
        <v>166.32</v>
      </c>
      <c r="G42" s="9">
        <v>2.0184423297080705</v>
      </c>
      <c r="H42" s="5">
        <v>843.71499999999992</v>
      </c>
      <c r="I42" s="9">
        <v>-8.4334717063578715E-2</v>
      </c>
      <c r="J42" s="5">
        <v>146.685</v>
      </c>
    </row>
    <row r="43" spans="1:10" x14ac:dyDescent="0.3">
      <c r="B43" t="s">
        <v>6200</v>
      </c>
      <c r="C43" s="9">
        <v>-0.66428988895382812</v>
      </c>
      <c r="D43" s="5">
        <v>114.87999999999998</v>
      </c>
      <c r="E43" s="9">
        <v>-0.52923482849604209</v>
      </c>
      <c r="F43" s="5">
        <v>133.815</v>
      </c>
      <c r="G43" s="9">
        <v>-0.63795020450303774</v>
      </c>
      <c r="H43" s="5">
        <v>91.175000000000011</v>
      </c>
      <c r="I43" s="9">
        <v>-0.33258845437616408</v>
      </c>
      <c r="J43" s="5">
        <v>53.759999999999991</v>
      </c>
    </row>
    <row r="44" spans="1:10" x14ac:dyDescent="0.3">
      <c r="B44" t="s">
        <v>6201</v>
      </c>
      <c r="C44" s="9">
        <v>-0.33598689951112209</v>
      </c>
      <c r="D44" s="5">
        <v>277.76</v>
      </c>
      <c r="E44" s="9">
        <v>-0.62529238985313762</v>
      </c>
      <c r="F44" s="5">
        <v>175.41</v>
      </c>
      <c r="G44" s="9">
        <v>0.14184493463850553</v>
      </c>
      <c r="H44" s="5">
        <v>462.50999999999993</v>
      </c>
      <c r="I44" s="9">
        <v>0.57818332642057246</v>
      </c>
      <c r="J44" s="5">
        <v>399.52499999999998</v>
      </c>
    </row>
    <row r="45" spans="1:10" x14ac:dyDescent="0.3">
      <c r="B45" t="s">
        <v>6202</v>
      </c>
      <c r="C45" s="9">
        <v>0.93389035473468207</v>
      </c>
      <c r="D45" s="5">
        <v>197.89499999999998</v>
      </c>
      <c r="E45" s="9">
        <v>0.19664243825885841</v>
      </c>
      <c r="F45" s="5">
        <v>289.755</v>
      </c>
      <c r="G45" s="9">
        <v>-0.84042351881054289</v>
      </c>
      <c r="H45" s="5">
        <v>88.545000000000002</v>
      </c>
      <c r="I45" s="9">
        <v>0.88493034638554224</v>
      </c>
      <c r="J45" s="5">
        <v>200.25499999999997</v>
      </c>
    </row>
    <row r="46" spans="1:10" x14ac:dyDescent="0.3">
      <c r="B46" t="s">
        <v>6203</v>
      </c>
      <c r="C46" s="9">
        <v>-0.17725374914792091</v>
      </c>
      <c r="D46" s="5">
        <v>193.11499999999998</v>
      </c>
      <c r="E46" s="9">
        <v>0.59674631800420763</v>
      </c>
      <c r="F46" s="5">
        <v>212.49499999999998</v>
      </c>
      <c r="G46" s="9">
        <v>9.3899700598802524E-2</v>
      </c>
      <c r="H46" s="5">
        <v>292.29000000000002</v>
      </c>
      <c r="I46" s="9">
        <v>0.11654259415453459</v>
      </c>
      <c r="J46" s="5">
        <v>304.46999999999997</v>
      </c>
    </row>
    <row r="47" spans="1:10" x14ac:dyDescent="0.3">
      <c r="B47" t="s">
        <v>6217</v>
      </c>
      <c r="C47" s="9">
        <v>-0.58226259903808175</v>
      </c>
      <c r="D47" s="5">
        <v>179.79</v>
      </c>
      <c r="E47" s="9">
        <v>2.1291068609816084</v>
      </c>
      <c r="F47" s="5">
        <v>426.2</v>
      </c>
      <c r="G47" s="9">
        <v>-0.18850190839694667</v>
      </c>
      <c r="H47" s="5">
        <v>170.08999999999997</v>
      </c>
      <c r="I47" s="9">
        <v>3.2939944529348506</v>
      </c>
      <c r="J47" s="5">
        <v>379.31</v>
      </c>
    </row>
    <row r="48" spans="1:10" x14ac:dyDescent="0.3">
      <c r="B48" t="s">
        <v>6218</v>
      </c>
      <c r="C48" s="9">
        <v>1.2686115315811199</v>
      </c>
      <c r="D48" s="5">
        <v>247.28999999999996</v>
      </c>
      <c r="E48" s="9">
        <v>-0.37321984374007494</v>
      </c>
      <c r="F48" s="5">
        <v>246.685</v>
      </c>
      <c r="G48" s="9">
        <v>3.4409764888998109</v>
      </c>
      <c r="H48" s="5">
        <v>271.05499999999995</v>
      </c>
      <c r="I48" s="9">
        <v>-0.28968870620081205</v>
      </c>
      <c r="J48" s="5">
        <v>141.69999999999999</v>
      </c>
    </row>
    <row r="49" spans="2:10" x14ac:dyDescent="0.3">
      <c r="B49" t="s">
        <v>6215</v>
      </c>
      <c r="C49" s="9">
        <v>-0.59518302756282071</v>
      </c>
      <c r="D49" s="5">
        <v>116.39499999999998</v>
      </c>
      <c r="E49" s="9">
        <v>-0.85710326670592718</v>
      </c>
      <c r="F49" s="5">
        <v>41.25</v>
      </c>
      <c r="G49" s="9">
        <v>-0.87625418060200666</v>
      </c>
      <c r="H49" s="5">
        <v>15.54</v>
      </c>
      <c r="I49" s="9">
        <v>-0.81006855814077805</v>
      </c>
      <c r="J49" s="5">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8B88F-AC61-4549-B9A3-65B413FFE778}">
  <dimension ref="A3:E8"/>
  <sheetViews>
    <sheetView workbookViewId="0">
      <selection activeCell="N6" sqref="N6"/>
    </sheetView>
  </sheetViews>
  <sheetFormatPr defaultRowHeight="14.4" x14ac:dyDescent="0.3"/>
  <cols>
    <col min="1" max="1" width="33.21875" bestFit="1" customWidth="1"/>
    <col min="2" max="2" width="18.88671875" bestFit="1" customWidth="1"/>
    <col min="3" max="3" width="7" bestFit="1" customWidth="1"/>
    <col min="4" max="4" width="7.44140625" bestFit="1" customWidth="1"/>
    <col min="5" max="6" width="7.88671875" bestFit="1" customWidth="1"/>
  </cols>
  <sheetData>
    <row r="3" spans="1:5" x14ac:dyDescent="0.3">
      <c r="A3" s="6" t="s">
        <v>6223</v>
      </c>
      <c r="B3" s="6" t="s">
        <v>6196</v>
      </c>
    </row>
    <row r="4" spans="1:5" x14ac:dyDescent="0.3">
      <c r="A4" s="6" t="s">
        <v>6208</v>
      </c>
      <c r="B4" t="s">
        <v>6210</v>
      </c>
      <c r="C4" t="s">
        <v>6211</v>
      </c>
      <c r="D4" t="s">
        <v>6212</v>
      </c>
      <c r="E4" t="s">
        <v>6213</v>
      </c>
    </row>
    <row r="5" spans="1:5" x14ac:dyDescent="0.3">
      <c r="A5" t="s">
        <v>6198</v>
      </c>
      <c r="B5" s="9">
        <v>6.484276742797683E-2</v>
      </c>
      <c r="C5" s="9">
        <v>7.7135647857708087E-2</v>
      </c>
      <c r="D5" s="9">
        <v>7.484348639409244E-2</v>
      </c>
      <c r="E5" s="9">
        <v>5.3198396650171821E-2</v>
      </c>
    </row>
    <row r="6" spans="1:5" x14ac:dyDescent="0.3">
      <c r="A6" t="s">
        <v>6207</v>
      </c>
      <c r="B6" s="9">
        <v>7.4365135748889616E-2</v>
      </c>
      <c r="C6" s="9">
        <v>8.1166954013088308E-2</v>
      </c>
      <c r="D6" s="9">
        <v>5.7704619252051476E-2</v>
      </c>
      <c r="E6" s="9">
        <v>5.5241080195075773E-2</v>
      </c>
    </row>
    <row r="7" spans="1:5" x14ac:dyDescent="0.3">
      <c r="A7" t="s">
        <v>6219</v>
      </c>
      <c r="B7" s="9">
        <v>8.9635466454470097E-2</v>
      </c>
      <c r="C7" s="9">
        <v>7.6873762511422861E-2</v>
      </c>
      <c r="D7" s="9">
        <v>8.5006277382888032E-2</v>
      </c>
      <c r="E7" s="9">
        <v>5.348808792789423E-2</v>
      </c>
    </row>
    <row r="8" spans="1:5" x14ac:dyDescent="0.3">
      <c r="A8" t="s">
        <v>6220</v>
      </c>
      <c r="B8" s="9">
        <v>3.1900825658914722E-2</v>
      </c>
      <c r="C8" s="9">
        <v>3.7486605240299183E-2</v>
      </c>
      <c r="D8" s="9">
        <v>4.9517157201331895E-2</v>
      </c>
      <c r="E8" s="9">
        <v>3.7593730083724658E-2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TotalSales</vt:lpstr>
      <vt:lpstr>Year to Date</vt:lpstr>
      <vt:lpstr>Year on Year Growth %</vt:lpstr>
      <vt:lpstr>Market share by coffee type</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shobhit khare</cp:lastModifiedBy>
  <cp:revision/>
  <dcterms:created xsi:type="dcterms:W3CDTF">2022-11-26T09:51:45Z</dcterms:created>
  <dcterms:modified xsi:type="dcterms:W3CDTF">2026-05-09T21:25:32Z</dcterms:modified>
  <cp:category/>
  <cp:contentStatus/>
</cp:coreProperties>
</file>